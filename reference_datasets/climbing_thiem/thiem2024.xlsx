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aten\Christsos\courtship_climbing paper\Thiem et al_2024\"/>
    </mc:Choice>
  </mc:AlternateContent>
  <xr:revisionPtr revIDLastSave="0" documentId="8_{4F9E52DF-06F5-4B52-9662-915D636D7A18}" xr6:coauthVersionLast="47" xr6:coauthVersionMax="47" xr10:uidLastSave="{00000000-0000-0000-0000-000000000000}"/>
  <bookViews>
    <workbookView xWindow="29550" yWindow="585" windowWidth="26325" windowHeight="14880" activeTab="6" xr2:uid="{00000000-000D-0000-FFFF-FFFF00000000}"/>
  </bookViews>
  <sheets>
    <sheet name="Figure  1" sheetId="8" r:id="rId1"/>
    <sheet name="Figure 2" sheetId="3" r:id="rId2"/>
    <sheet name="Figure 3" sheetId="2" r:id="rId3"/>
    <sheet name="Figure 4" sheetId="4" r:id="rId4"/>
    <sheet name="Figure 5" sheetId="5" r:id="rId5"/>
    <sheet name="S1" sheetId="10" r:id="rId6"/>
    <sheet name="S2" sheetId="7" r:id="rId7"/>
  </sheets>
  <calcPr calcId="191029"/>
</workbook>
</file>

<file path=xl/calcChain.xml><?xml version="1.0" encoding="utf-8"?>
<calcChain xmlns="http://schemas.openxmlformats.org/spreadsheetml/2006/main">
  <c r="J207" i="10" l="1"/>
  <c r="J206" i="10"/>
  <c r="V205" i="10"/>
  <c r="P205" i="10"/>
  <c r="J205" i="10"/>
  <c r="V204" i="10"/>
  <c r="P204" i="10"/>
  <c r="J204" i="10"/>
  <c r="V203" i="10"/>
  <c r="P203" i="10"/>
  <c r="J203" i="10"/>
  <c r="P201" i="10"/>
  <c r="J201" i="10"/>
  <c r="V200" i="10"/>
  <c r="P200" i="10"/>
  <c r="J200" i="10"/>
  <c r="V199" i="10"/>
  <c r="P199" i="10"/>
  <c r="J199" i="10"/>
  <c r="V197" i="10"/>
  <c r="P197" i="10"/>
  <c r="J197" i="10"/>
  <c r="V196" i="10"/>
  <c r="P196" i="10"/>
  <c r="J196" i="10"/>
  <c r="P195" i="10"/>
  <c r="J195" i="10"/>
  <c r="J194" i="10"/>
  <c r="V192" i="10"/>
  <c r="P192" i="10"/>
  <c r="J192" i="10"/>
  <c r="V191" i="10"/>
  <c r="P191" i="10"/>
  <c r="J191" i="10"/>
  <c r="V190" i="10"/>
  <c r="P190" i="10"/>
  <c r="J190" i="10"/>
  <c r="V189" i="10"/>
  <c r="P189" i="10"/>
  <c r="J189" i="10"/>
  <c r="V188" i="10"/>
  <c r="P188" i="10"/>
  <c r="J188" i="10"/>
  <c r="P187" i="10"/>
  <c r="J187" i="10"/>
  <c r="V185" i="10"/>
  <c r="P185" i="10"/>
  <c r="J185" i="10"/>
  <c r="V184" i="10"/>
  <c r="P184" i="10"/>
  <c r="J184" i="10"/>
  <c r="P183" i="10"/>
  <c r="V182" i="10"/>
  <c r="P182" i="10"/>
  <c r="J182" i="10"/>
  <c r="P181" i="10"/>
  <c r="J181" i="10"/>
  <c r="V180" i="10"/>
  <c r="P180" i="10"/>
  <c r="J180" i="10"/>
  <c r="J179" i="10"/>
  <c r="V178" i="10"/>
  <c r="P178" i="10"/>
  <c r="J178" i="10"/>
  <c r="V177" i="10"/>
  <c r="P177" i="10"/>
  <c r="J177" i="10"/>
  <c r="P176" i="10"/>
  <c r="J176" i="10"/>
  <c r="J175" i="10"/>
  <c r="V174" i="10"/>
  <c r="P174" i="10"/>
  <c r="J174" i="10"/>
  <c r="V173" i="10"/>
  <c r="P173" i="10"/>
  <c r="J173" i="10"/>
  <c r="V171" i="10"/>
  <c r="P171" i="10"/>
  <c r="J171" i="10"/>
  <c r="P170" i="10"/>
  <c r="J170" i="10"/>
  <c r="J169" i="10"/>
  <c r="V168" i="10"/>
  <c r="P168" i="10"/>
  <c r="J168" i="10"/>
  <c r="V165" i="10"/>
  <c r="P165" i="10"/>
  <c r="J165" i="10"/>
  <c r="V164" i="10"/>
  <c r="P164" i="10"/>
  <c r="J164" i="10"/>
  <c r="V163" i="10"/>
  <c r="P163" i="10"/>
  <c r="J160" i="10"/>
  <c r="H67" i="4" l="1"/>
  <c r="H66" i="4"/>
  <c r="H65" i="4"/>
  <c r="H64" i="4"/>
  <c r="H63" i="4"/>
  <c r="D62" i="4"/>
  <c r="H61" i="4"/>
  <c r="H60" i="4"/>
  <c r="H58" i="4"/>
  <c r="H56" i="4"/>
  <c r="H55" i="4"/>
  <c r="H54" i="4"/>
  <c r="H53" i="4"/>
  <c r="H52" i="4"/>
  <c r="H50" i="4"/>
  <c r="H49" i="4"/>
  <c r="H48" i="4"/>
  <c r="H47" i="4"/>
  <c r="H46" i="4"/>
  <c r="H44" i="4"/>
  <c r="D44" i="4"/>
  <c r="H42" i="4"/>
  <c r="D42" i="4"/>
  <c r="H41" i="4"/>
  <c r="D41" i="4"/>
  <c r="H40" i="4"/>
  <c r="H39" i="4"/>
  <c r="H37" i="4"/>
  <c r="H36" i="4"/>
  <c r="H35" i="4"/>
  <c r="D35" i="4"/>
  <c r="H34" i="4"/>
  <c r="D34" i="4"/>
  <c r="H31" i="4"/>
  <c r="D31" i="4"/>
  <c r="H30" i="4"/>
  <c r="H29" i="4"/>
  <c r="H28" i="4"/>
  <c r="D28" i="4"/>
  <c r="H27" i="4"/>
  <c r="H26" i="4"/>
  <c r="D26" i="4"/>
  <c r="H24" i="4"/>
  <c r="H23" i="4"/>
  <c r="H22" i="4"/>
  <c r="H20" i="4"/>
  <c r="H19" i="4"/>
  <c r="H18" i="4"/>
  <c r="H17" i="4"/>
  <c r="H16" i="4"/>
  <c r="H15" i="4"/>
  <c r="H14" i="4"/>
  <c r="H13" i="4"/>
  <c r="H12" i="4"/>
  <c r="D12" i="4"/>
  <c r="H11" i="4"/>
  <c r="D11" i="4"/>
  <c r="H8" i="4"/>
  <c r="H6" i="4"/>
  <c r="H5" i="4"/>
  <c r="Y173" i="8" l="1"/>
  <c r="X173" i="8"/>
  <c r="W173" i="8"/>
  <c r="V173" i="8"/>
  <c r="U173" i="8"/>
  <c r="T173" i="8"/>
  <c r="S173" i="8"/>
  <c r="R173" i="8"/>
  <c r="Q173" i="8"/>
  <c r="P173" i="8"/>
  <c r="O173" i="8"/>
  <c r="N173" i="8"/>
  <c r="K173" i="8"/>
  <c r="J173" i="8"/>
  <c r="I173" i="8"/>
  <c r="H173" i="8"/>
  <c r="G173" i="8"/>
  <c r="F173" i="8"/>
  <c r="AD170" i="8"/>
  <c r="Z170" i="8"/>
  <c r="AD169" i="8"/>
  <c r="AD167" i="8"/>
  <c r="Z167" i="8"/>
  <c r="AD166" i="8"/>
  <c r="Z166" i="8"/>
  <c r="L166" i="8"/>
  <c r="AD165" i="8"/>
  <c r="Z165" i="8"/>
  <c r="L165" i="8"/>
  <c r="AD164" i="8"/>
  <c r="Z164" i="8"/>
  <c r="L164" i="8"/>
  <c r="AD163" i="8"/>
  <c r="Z163" i="8"/>
  <c r="AD162" i="8"/>
  <c r="Z162" i="8"/>
  <c r="AD161" i="8"/>
  <c r="Z161" i="8"/>
  <c r="AD160" i="8"/>
  <c r="Z160" i="8"/>
  <c r="AD159" i="8"/>
  <c r="Z159" i="8"/>
  <c r="L159" i="8"/>
  <c r="AD158" i="8"/>
  <c r="Z158" i="8"/>
  <c r="AD157" i="8"/>
  <c r="Z157" i="8"/>
  <c r="L157" i="8"/>
  <c r="AD156" i="8"/>
  <c r="Z156" i="8"/>
  <c r="L156" i="8"/>
  <c r="AD155" i="8"/>
  <c r="Z155" i="8"/>
  <c r="AD153" i="8"/>
  <c r="Z153" i="8"/>
  <c r="AD152" i="8"/>
  <c r="Z152" i="8"/>
  <c r="L152" i="8"/>
  <c r="AD151" i="8"/>
  <c r="Z151" i="8"/>
  <c r="L151" i="8"/>
  <c r="AD150" i="8"/>
  <c r="Z150" i="8"/>
  <c r="L150" i="8"/>
  <c r="AD149" i="8"/>
  <c r="Z149" i="8"/>
  <c r="L149" i="8"/>
  <c r="AD148" i="8"/>
  <c r="Z148" i="8"/>
  <c r="L148" i="8"/>
  <c r="AD147" i="8"/>
  <c r="Z147" i="8"/>
  <c r="L147" i="8"/>
  <c r="AD146" i="8"/>
  <c r="Z146" i="8"/>
  <c r="L146" i="8"/>
  <c r="AD145" i="8"/>
  <c r="Z145" i="8"/>
  <c r="AD144" i="8"/>
  <c r="Z144" i="8"/>
  <c r="L144" i="8"/>
  <c r="AD142" i="8"/>
  <c r="Z142" i="8"/>
  <c r="L142" i="8"/>
  <c r="AD141" i="8"/>
  <c r="Z141" i="8"/>
  <c r="L141" i="8"/>
  <c r="AD140" i="8"/>
  <c r="Z140" i="8"/>
  <c r="AD139" i="8"/>
  <c r="Z139" i="8"/>
  <c r="L139" i="8"/>
  <c r="AD138" i="8"/>
  <c r="Z138" i="8"/>
  <c r="L138" i="8"/>
  <c r="AD136" i="8"/>
  <c r="Z136" i="8"/>
  <c r="L136" i="8"/>
  <c r="AD135" i="8"/>
  <c r="Z135" i="8"/>
  <c r="L135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K126" i="8"/>
  <c r="J126" i="8"/>
  <c r="I126" i="8"/>
  <c r="H126" i="8"/>
  <c r="G126" i="8"/>
  <c r="F126" i="8"/>
  <c r="AD123" i="8"/>
  <c r="AD122" i="8"/>
  <c r="AD121" i="8"/>
  <c r="AD120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D91" i="8"/>
  <c r="AD90" i="8"/>
  <c r="AD89" i="8"/>
  <c r="Y79" i="8"/>
  <c r="X79" i="8"/>
  <c r="W79" i="8"/>
  <c r="V79" i="8"/>
  <c r="U79" i="8"/>
  <c r="T79" i="8"/>
  <c r="S79" i="8"/>
  <c r="R79" i="8"/>
  <c r="Q79" i="8"/>
  <c r="P79" i="8"/>
  <c r="O79" i="8"/>
  <c r="N79" i="8"/>
  <c r="K79" i="8"/>
  <c r="J79" i="8"/>
  <c r="I79" i="8"/>
  <c r="H79" i="8"/>
  <c r="G79" i="8"/>
  <c r="F79" i="8"/>
  <c r="AD76" i="8"/>
  <c r="Z76" i="8"/>
  <c r="L76" i="8"/>
  <c r="AD75" i="8"/>
  <c r="Z75" i="8"/>
  <c r="L75" i="8"/>
  <c r="AD74" i="8"/>
  <c r="Z74" i="8"/>
  <c r="L74" i="8"/>
  <c r="AD73" i="8"/>
  <c r="Z73" i="8"/>
  <c r="L73" i="8"/>
  <c r="AD72" i="8"/>
  <c r="Z72" i="8"/>
  <c r="L72" i="8"/>
  <c r="AD71" i="8"/>
  <c r="AD70" i="8"/>
  <c r="Z70" i="8"/>
  <c r="L70" i="8"/>
  <c r="AD69" i="8"/>
  <c r="Z69" i="8"/>
  <c r="L69" i="8"/>
  <c r="AD68" i="8"/>
  <c r="Z68" i="8"/>
  <c r="L68" i="8"/>
  <c r="AD67" i="8"/>
  <c r="Z67" i="8"/>
  <c r="L67" i="8"/>
  <c r="AD66" i="8"/>
  <c r="Z66" i="8"/>
  <c r="L66" i="8"/>
  <c r="AD65" i="8"/>
  <c r="Z65" i="8"/>
  <c r="L65" i="8"/>
  <c r="AD64" i="8"/>
  <c r="L64" i="8"/>
  <c r="AD63" i="8"/>
  <c r="Z63" i="8"/>
  <c r="L63" i="8"/>
  <c r="AD62" i="8"/>
  <c r="Z62" i="8"/>
  <c r="L62" i="8"/>
  <c r="AD61" i="8"/>
  <c r="Z61" i="8"/>
  <c r="L61" i="8"/>
  <c r="AD60" i="8"/>
  <c r="Z60" i="8"/>
  <c r="L60" i="8"/>
  <c r="AD59" i="8"/>
  <c r="Z59" i="8"/>
  <c r="L59" i="8"/>
  <c r="AD58" i="8"/>
  <c r="Z58" i="8"/>
  <c r="L58" i="8"/>
  <c r="AD57" i="8"/>
  <c r="Z57" i="8"/>
  <c r="L57" i="8"/>
  <c r="AD56" i="8"/>
  <c r="Z56" i="8"/>
  <c r="L56" i="8"/>
  <c r="AD55" i="8"/>
  <c r="Z55" i="8"/>
  <c r="L55" i="8"/>
  <c r="AD54" i="8"/>
  <c r="Z54" i="8"/>
  <c r="L54" i="8"/>
  <c r="AD53" i="8"/>
  <c r="Z53" i="8"/>
  <c r="L53" i="8"/>
  <c r="AD51" i="8"/>
  <c r="Z51" i="8"/>
  <c r="L5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Kapodistrian University of Athens</author>
  </authors>
  <commentList>
    <comment ref="D116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161"/>
          </rPr>
          <t>Kapodistrian University of Athens:</t>
        </r>
        <r>
          <rPr>
            <sz val="8"/>
            <color indexed="81"/>
            <rFont val="Tahoma"/>
            <family val="2"/>
            <charset val="161"/>
          </rPr>
          <t xml:space="preserve">
το παλεύει και πέφτει</t>
        </r>
      </text>
    </comment>
  </commentList>
</comments>
</file>

<file path=xl/sharedStrings.xml><?xml version="1.0" encoding="utf-8"?>
<sst xmlns="http://schemas.openxmlformats.org/spreadsheetml/2006/main" count="3313" uniqueCount="285">
  <si>
    <t>4 weeks/aver. Speed</t>
  </si>
  <si>
    <t>4 weeks/max. speed</t>
  </si>
  <si>
    <t>6 weeks/aver. Speed</t>
  </si>
  <si>
    <t>7 weeks/aver. Speed</t>
  </si>
  <si>
    <t>7 weeks/max. speed</t>
  </si>
  <si>
    <t>8 weeks/aver. Speed</t>
  </si>
  <si>
    <t>8 weeks/max. speed</t>
  </si>
  <si>
    <t>9 weeks/aver. Speed</t>
  </si>
  <si>
    <t>9 weeks/max. speed</t>
  </si>
  <si>
    <t>10 weeks/aver. Speed</t>
  </si>
  <si>
    <t>10 weeks/max. speed</t>
  </si>
  <si>
    <t>11 weeks/aver. Speed</t>
  </si>
  <si>
    <t>11 weeks/max. speed</t>
  </si>
  <si>
    <t>4W CI initial</t>
  </si>
  <si>
    <t>4W CI final</t>
  </si>
  <si>
    <t>4W CI test</t>
  </si>
  <si>
    <t>4W CI Sham</t>
  </si>
  <si>
    <t>6W CI initial</t>
  </si>
  <si>
    <t>6W CI final</t>
  </si>
  <si>
    <t>6W CI test</t>
  </si>
  <si>
    <t>6W CI Sham</t>
  </si>
  <si>
    <t>8W CI initial</t>
  </si>
  <si>
    <t>8W CI final</t>
  </si>
  <si>
    <t>8W CI test</t>
  </si>
  <si>
    <t>8W CI Sham</t>
  </si>
  <si>
    <t>10W CI initial</t>
  </si>
  <si>
    <t>10W CI final</t>
  </si>
  <si>
    <t>10W CI test</t>
  </si>
  <si>
    <t>10W CI Sham</t>
  </si>
  <si>
    <t>FIGURE 4A</t>
  </si>
  <si>
    <t>FIGURE 4C</t>
  </si>
  <si>
    <t>FIGURE 4B</t>
  </si>
  <si>
    <t>days elapsed Experimental</t>
  </si>
  <si>
    <t>days elapsed Control</t>
  </si>
  <si>
    <t>FIGURE 3C</t>
  </si>
  <si>
    <t>FIGURE 3F</t>
  </si>
  <si>
    <t>FIGURE 1A</t>
  </si>
  <si>
    <t>Figure 5A</t>
  </si>
  <si>
    <t>Maximum</t>
  </si>
  <si>
    <t>70-74</t>
  </si>
  <si>
    <t>75-77</t>
  </si>
  <si>
    <t>78-80</t>
  </si>
  <si>
    <t>81-83</t>
  </si>
  <si>
    <t>84-86</t>
  </si>
  <si>
    <t>AGE:</t>
  </si>
  <si>
    <t>Average</t>
  </si>
  <si>
    <t>CLIMBING SPEED</t>
  </si>
  <si>
    <t>Figure 5B</t>
  </si>
  <si>
    <t>Courtship Index</t>
  </si>
  <si>
    <t>Trainer</t>
  </si>
  <si>
    <t>Tester</t>
  </si>
  <si>
    <t>Figure 5C</t>
  </si>
  <si>
    <t>STM</t>
  </si>
  <si>
    <t>Figure 5D</t>
  </si>
  <si>
    <t>Figure 5F</t>
  </si>
  <si>
    <t>CI vs Trainer</t>
  </si>
  <si>
    <t>CI vs Tester</t>
  </si>
  <si>
    <t>vs Trainer</t>
  </si>
  <si>
    <t>vs Tester</t>
  </si>
  <si>
    <t>ORIENTATION LATENCY (SECONDS)</t>
  </si>
  <si>
    <t>SINGING LATENCY (SECONDS)</t>
  </si>
  <si>
    <t>LICKING LATENCY (SECONDS)</t>
  </si>
  <si>
    <t>ATTEMPTED COPULATION LATENCY (SECONDS)</t>
  </si>
  <si>
    <t>Age of death</t>
  </si>
  <si>
    <t>illspan duration</t>
  </si>
  <si>
    <t>Onset of illspan</t>
  </si>
  <si>
    <t>Courtship collapse</t>
  </si>
  <si>
    <t>f</t>
  </si>
  <si>
    <t>fab</t>
  </si>
  <si>
    <t xml:space="preserve">l </t>
  </si>
  <si>
    <t>k</t>
  </si>
  <si>
    <t xml:space="preserve">g </t>
  </si>
  <si>
    <t>fabh</t>
  </si>
  <si>
    <t>fb</t>
  </si>
  <si>
    <t>l</t>
  </si>
  <si>
    <t>ld</t>
  </si>
  <si>
    <t>ln</t>
  </si>
  <si>
    <t>fa</t>
  </si>
  <si>
    <t xml:space="preserve">f </t>
  </si>
  <si>
    <t>fh</t>
  </si>
  <si>
    <t>l n</t>
  </si>
  <si>
    <t>di</t>
  </si>
  <si>
    <t>i</t>
  </si>
  <si>
    <t>in</t>
  </si>
  <si>
    <t>ic</t>
  </si>
  <si>
    <t>n</t>
  </si>
  <si>
    <t>f i</t>
  </si>
  <si>
    <t>fha</t>
  </si>
  <si>
    <t>ldc</t>
  </si>
  <si>
    <t>nl</t>
  </si>
  <si>
    <t>fn</t>
  </si>
  <si>
    <t>lc</t>
  </si>
  <si>
    <t>f l</t>
  </si>
  <si>
    <t>lnh</t>
  </si>
  <si>
    <t>hf</t>
  </si>
  <si>
    <t>inh</t>
  </si>
  <si>
    <t xml:space="preserve">k </t>
  </si>
  <si>
    <t xml:space="preserve">k  </t>
  </si>
  <si>
    <t>Fly N#</t>
  </si>
  <si>
    <t>AGE (DAYS)</t>
  </si>
  <si>
    <t>i=Moderate climbing defects</t>
  </si>
  <si>
    <t>l=Severe climbing defects</t>
  </si>
  <si>
    <t>c=Leg immobility</t>
  </si>
  <si>
    <t>h=Paradoxical behavior</t>
  </si>
  <si>
    <t>n=Responsivness defect</t>
  </si>
  <si>
    <t>f= fit (normal escape climbing)</t>
  </si>
  <si>
    <t>a=Jump</t>
  </si>
  <si>
    <t>b=flight</t>
  </si>
  <si>
    <t>K=Dead</t>
  </si>
  <si>
    <t>Day of Courtship collapse</t>
  </si>
  <si>
    <t>Days between courttship collaps and death</t>
  </si>
  <si>
    <t>g=Terminal stage</t>
  </si>
  <si>
    <t>FIGURE 3A, B, F</t>
  </si>
  <si>
    <t xml:space="preserve">5 days </t>
  </si>
  <si>
    <t>4 weeks</t>
  </si>
  <si>
    <t>8 weeks</t>
  </si>
  <si>
    <t>10 weeks</t>
  </si>
  <si>
    <t>FIGURE 2A</t>
  </si>
  <si>
    <t>FIGURE 2B</t>
  </si>
  <si>
    <t>Fly#</t>
  </si>
  <si>
    <t>2 vs Trainer</t>
  </si>
  <si>
    <t>1 vs Trainer</t>
  </si>
  <si>
    <t>cc vs Trainer</t>
  </si>
  <si>
    <t>2 vs Tester</t>
  </si>
  <si>
    <t>1 vs Tester</t>
  </si>
  <si>
    <t>cc vs Tester</t>
  </si>
  <si>
    <t>2d before cc</t>
  </si>
  <si>
    <t>1d before cc</t>
  </si>
  <si>
    <t>day of cc</t>
  </si>
  <si>
    <t>cc=Courtship collapse</t>
  </si>
  <si>
    <t>d=Day</t>
  </si>
  <si>
    <t>SPEED (cm/sec) GRADUALLY DECLINES</t>
  </si>
  <si>
    <t>FIGURE 1B</t>
  </si>
  <si>
    <t>N</t>
  </si>
  <si>
    <t>4 Weeks</t>
  </si>
  <si>
    <t>Round 1</t>
  </si>
  <si>
    <t>Round 2</t>
  </si>
  <si>
    <t>No</t>
  </si>
  <si>
    <t>LS1</t>
  </si>
  <si>
    <t>LS2</t>
  </si>
  <si>
    <t>LS3</t>
  </si>
  <si>
    <t>Best score LS</t>
  </si>
  <si>
    <t>MS1</t>
  </si>
  <si>
    <t>MS2</t>
  </si>
  <si>
    <t>MS3</t>
  </si>
  <si>
    <t>MS4</t>
  </si>
  <si>
    <t>MS5</t>
  </si>
  <si>
    <t>MS6</t>
  </si>
  <si>
    <t>Best score MS</t>
  </si>
  <si>
    <t xml:space="preserve">SS </t>
  </si>
  <si>
    <t>Best score SS</t>
  </si>
  <si>
    <t>II</t>
  </si>
  <si>
    <t>IV</t>
  </si>
  <si>
    <t>III</t>
  </si>
  <si>
    <t>A</t>
  </si>
  <si>
    <t>I</t>
  </si>
  <si>
    <t>JUMP</t>
  </si>
  <si>
    <t>ΙΙΙ</t>
  </si>
  <si>
    <t>ΙΙ</t>
  </si>
  <si>
    <t>Ι</t>
  </si>
  <si>
    <t>F</t>
  </si>
  <si>
    <t>FAILED</t>
  </si>
  <si>
    <t>Succesful Responces</t>
  </si>
  <si>
    <t>23/29</t>
  </si>
  <si>
    <t>25/30</t>
  </si>
  <si>
    <t>24/27</t>
  </si>
  <si>
    <t>25/28</t>
  </si>
  <si>
    <t>26/28</t>
  </si>
  <si>
    <t>22/30</t>
  </si>
  <si>
    <t>21/30</t>
  </si>
  <si>
    <t>21/29</t>
  </si>
  <si>
    <t>15/30</t>
  </si>
  <si>
    <t>20/30</t>
  </si>
  <si>
    <t>26/29</t>
  </si>
  <si>
    <t>22/27</t>
  </si>
  <si>
    <t>22/28</t>
  </si>
  <si>
    <t>16/28</t>
  </si>
  <si>
    <t>22/29</t>
  </si>
  <si>
    <t>16/27</t>
  </si>
  <si>
    <t>% Succesful Responces</t>
  </si>
  <si>
    <t>AGE: 6 weeks</t>
  </si>
  <si>
    <t>DEAD</t>
  </si>
  <si>
    <t>16/26</t>
  </si>
  <si>
    <t>21/25</t>
  </si>
  <si>
    <t>21/26</t>
  </si>
  <si>
    <t>22/24</t>
  </si>
  <si>
    <t>17/24</t>
  </si>
  <si>
    <t>22/23</t>
  </si>
  <si>
    <t>15/25</t>
  </si>
  <si>
    <t>17/25</t>
  </si>
  <si>
    <t>15/26</t>
  </si>
  <si>
    <t>14/25</t>
  </si>
  <si>
    <t>20/24</t>
  </si>
  <si>
    <t>20/23</t>
  </si>
  <si>
    <t>14/24</t>
  </si>
  <si>
    <t>14/23</t>
  </si>
  <si>
    <t>10/24</t>
  </si>
  <si>
    <t>AGE: 8 weeks</t>
  </si>
  <si>
    <t>Leg defect</t>
  </si>
  <si>
    <t>24/36</t>
  </si>
  <si>
    <t>25/36</t>
  </si>
  <si>
    <t>25/35</t>
  </si>
  <si>
    <t>29/34</t>
  </si>
  <si>
    <t>27/34</t>
  </si>
  <si>
    <t>26/35</t>
  </si>
  <si>
    <t>24/34</t>
  </si>
  <si>
    <t>27/35</t>
  </si>
  <si>
    <t>28/35</t>
  </si>
  <si>
    <t>25/34</t>
  </si>
  <si>
    <t>30/35</t>
  </si>
  <si>
    <t>26/34</t>
  </si>
  <si>
    <t>31/34</t>
  </si>
  <si>
    <t>AGE: 10 weeks</t>
  </si>
  <si>
    <t>3E</t>
  </si>
  <si>
    <t>1E</t>
  </si>
  <si>
    <t>2E</t>
  </si>
  <si>
    <t>1ΠΑ</t>
  </si>
  <si>
    <t>1Α</t>
  </si>
  <si>
    <t>3/36</t>
  </si>
  <si>
    <t>6/36</t>
  </si>
  <si>
    <t>8/36</t>
  </si>
  <si>
    <t>7/34</t>
  </si>
  <si>
    <t>9/34</t>
  </si>
  <si>
    <t>13/34</t>
  </si>
  <si>
    <t>13/36</t>
  </si>
  <si>
    <t>17/36</t>
  </si>
  <si>
    <t>14/36</t>
  </si>
  <si>
    <t>12/36</t>
  </si>
  <si>
    <t>16/36</t>
  </si>
  <si>
    <t>14/34</t>
  </si>
  <si>
    <t>16/34</t>
  </si>
  <si>
    <t>11/34</t>
  </si>
  <si>
    <t xml:space="preserve"> </t>
  </si>
  <si>
    <t>copulation with mated female</t>
  </si>
  <si>
    <t>Fly number</t>
  </si>
  <si>
    <t>AGE (WEEKS)</t>
  </si>
  <si>
    <t>LS</t>
  </si>
  <si>
    <t>MS</t>
  </si>
  <si>
    <t>SEM</t>
  </si>
  <si>
    <t>4w LS</t>
  </si>
  <si>
    <t>6w LS</t>
  </si>
  <si>
    <t>8w LS</t>
  </si>
  <si>
    <t>10w LS</t>
  </si>
  <si>
    <t>4w MS</t>
  </si>
  <si>
    <t>6w MS</t>
  </si>
  <si>
    <t>8w MS</t>
  </si>
  <si>
    <t>10w MS</t>
  </si>
  <si>
    <t>SUCCESFUL RESPONCES %</t>
  </si>
  <si>
    <t xml:space="preserve">% of male courtship </t>
  </si>
  <si>
    <t>5 days</t>
  </si>
  <si>
    <t>Court vs Tester</t>
  </si>
  <si>
    <t>Court vs Sham</t>
  </si>
  <si>
    <t>6 weeks</t>
  </si>
  <si>
    <t>AGE</t>
  </si>
  <si>
    <t>Age (Weeks)</t>
  </si>
  <si>
    <t xml:space="preserve">STM Index: </t>
  </si>
  <si>
    <t>Fly</t>
  </si>
  <si>
    <t>AGE (weeks)</t>
  </si>
  <si>
    <t>ESCAPED</t>
  </si>
  <si>
    <t>vs Tester (virgin female)</t>
  </si>
  <si>
    <t>Orientation</t>
  </si>
  <si>
    <t>Singing</t>
  </si>
  <si>
    <t>Licking</t>
  </si>
  <si>
    <t>Att cop</t>
  </si>
  <si>
    <t>Attempting copulation</t>
  </si>
  <si>
    <t>SHAM</t>
  </si>
  <si>
    <t>No Fly</t>
  </si>
  <si>
    <t>CI</t>
  </si>
  <si>
    <t>Att. Copulation</t>
  </si>
  <si>
    <t>arabic numbers are in seconds</t>
  </si>
  <si>
    <t>areas in the 6cm vertical distance of the vial wall</t>
  </si>
  <si>
    <t>LTM provided as the ratio of courtship index (CI) test devided by the mean of  CI sham</t>
  </si>
  <si>
    <t xml:space="preserve">arabic numbers are cm /s </t>
  </si>
  <si>
    <t>CI is courstship index as defined in the methods section</t>
  </si>
  <si>
    <t>Learning Index: CI final/CI initial</t>
  </si>
  <si>
    <t>the ratio the ratio CI test/the mean of CI sham</t>
  </si>
  <si>
    <t>all values are in cm /s</t>
  </si>
  <si>
    <t xml:space="preserve">STM index </t>
  </si>
  <si>
    <t>(the ratio the ratio CI test/the mean of CI sham)</t>
  </si>
  <si>
    <t>COURTSHIP COLLAPSES</t>
  </si>
  <si>
    <t>numbers are courtship as defined in the methods</t>
  </si>
  <si>
    <t>Figure 5E</t>
  </si>
  <si>
    <t xml:space="preserve">CORRELATIONs of climbing speed and CI and STM </t>
  </si>
  <si>
    <t xml:space="preserve">there are gaps in the fly numbers because some flies had died or escaped during longitudinal assessment </t>
  </si>
  <si>
    <t>vs. Trainer (mated 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</si>
</sst>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sz val="16"/>
      <color theme="1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sz val="24"/>
      <color theme="1"/>
      <name val="Calibri"/>
      <family val="2"/>
      <charset val="161"/>
      <scheme val="minor"/>
    </font>
    <font>
      <b/>
      <sz val="24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sz val="22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b/>
      <sz val="14"/>
      <name val="Times New Roman"/>
      <family val="1"/>
      <charset val="161"/>
    </font>
    <font>
      <b/>
      <sz val="14"/>
      <color theme="1"/>
      <name val="Calibri"/>
      <family val="2"/>
      <charset val="161"/>
      <scheme val="minor"/>
    </font>
    <font>
      <b/>
      <sz val="12"/>
      <name val="Arial Greek"/>
      <charset val="161"/>
    </font>
    <font>
      <b/>
      <sz val="8"/>
      <color indexed="81"/>
      <name val="Tahoma"/>
      <family val="2"/>
      <charset val="161"/>
    </font>
    <font>
      <sz val="8"/>
      <color indexed="81"/>
      <name val="Tahoma"/>
      <family val="2"/>
      <charset val="161"/>
    </font>
    <font>
      <b/>
      <sz val="11"/>
      <color theme="1"/>
      <name val="Calibri"/>
      <family val="2"/>
      <charset val="161"/>
      <scheme val="minor"/>
    </font>
    <font>
      <sz val="14"/>
      <name val="Arial"/>
      <family val="2"/>
      <charset val="161"/>
    </font>
    <font>
      <sz val="20"/>
      <color theme="1"/>
      <name val="Calibri"/>
      <family val="2"/>
      <charset val="161"/>
      <scheme val="minor"/>
    </font>
    <font>
      <b/>
      <sz val="26"/>
      <color theme="1"/>
      <name val="Calibri"/>
      <family val="2"/>
      <charset val="161"/>
      <scheme val="minor"/>
    </font>
    <font>
      <b/>
      <sz val="22"/>
      <color theme="1"/>
      <name val="Calibri"/>
      <family val="2"/>
      <charset val="161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0" fillId="2" borderId="0" xfId="0" applyFill="1"/>
    <xf numFmtId="0" fontId="0" fillId="4" borderId="0" xfId="0" applyFill="1"/>
    <xf numFmtId="16" fontId="0" fillId="0" borderId="0" xfId="0" applyNumberFormat="1"/>
    <xf numFmtId="0" fontId="2" fillId="0" borderId="0" xfId="0" applyFont="1" applyAlignment="1">
      <alignment horizontal="center"/>
    </xf>
    <xf numFmtId="0" fontId="10" fillId="2" borderId="0" xfId="0" applyFont="1" applyFill="1"/>
    <xf numFmtId="0" fontId="9" fillId="6" borderId="1" xfId="0" applyFont="1" applyFill="1" applyBorder="1"/>
    <xf numFmtId="0" fontId="9" fillId="6" borderId="2" xfId="0" applyFont="1" applyFill="1" applyBorder="1"/>
    <xf numFmtId="0" fontId="9" fillId="0" borderId="0" xfId="0" applyFont="1"/>
    <xf numFmtId="49" fontId="0" fillId="0" borderId="0" xfId="0" applyNumberFormat="1"/>
    <xf numFmtId="0" fontId="11" fillId="6" borderId="0" xfId="0" applyFont="1" applyFill="1"/>
    <xf numFmtId="0" fontId="15" fillId="0" borderId="0" xfId="0" applyFont="1"/>
    <xf numFmtId="0" fontId="2" fillId="7" borderId="0" xfId="0" applyFont="1" applyFill="1"/>
    <xf numFmtId="0" fontId="3" fillId="0" borderId="0" xfId="0" applyFont="1"/>
    <xf numFmtId="2" fontId="0" fillId="0" borderId="0" xfId="0" applyNumberFormat="1"/>
    <xf numFmtId="0" fontId="2" fillId="8" borderId="0" xfId="0" applyFont="1" applyFill="1"/>
    <xf numFmtId="0" fontId="8" fillId="0" borderId="0" xfId="0" applyFont="1"/>
    <xf numFmtId="0" fontId="16" fillId="0" borderId="0" xfId="0" applyFont="1"/>
    <xf numFmtId="0" fontId="17" fillId="0" borderId="0" xfId="0" applyFont="1"/>
    <xf numFmtId="0" fontId="2" fillId="9" borderId="0" xfId="0" applyFont="1" applyFill="1"/>
    <xf numFmtId="0" fontId="0" fillId="9" borderId="0" xfId="0" applyFill="1"/>
    <xf numFmtId="0" fontId="18" fillId="0" borderId="0" xfId="0" applyFont="1"/>
    <xf numFmtId="0" fontId="9" fillId="5" borderId="0" xfId="0" applyFont="1" applyFill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G197"/>
  <sheetViews>
    <sheetView topLeftCell="A175" zoomScale="70" zoomScaleNormal="70" workbookViewId="0">
      <selection activeCell="AG33" sqref="AG33"/>
    </sheetView>
  </sheetViews>
  <sheetFormatPr baseColWidth="10" defaultColWidth="9.140625" defaultRowHeight="15" x14ac:dyDescent="0.25"/>
  <sheetData>
    <row r="2" spans="3:30" ht="31.5" x14ac:dyDescent="0.5">
      <c r="C2" s="4" t="s">
        <v>36</v>
      </c>
    </row>
    <row r="4" spans="3:30" ht="28.5" x14ac:dyDescent="0.45">
      <c r="C4" s="9" t="s">
        <v>44</v>
      </c>
      <c r="D4" s="9" t="s">
        <v>134</v>
      </c>
    </row>
    <row r="6" spans="3:30" ht="18.75" x14ac:dyDescent="0.3">
      <c r="F6" s="31" t="s">
        <v>135</v>
      </c>
      <c r="G6" s="31"/>
      <c r="H6" s="31"/>
      <c r="I6" s="31" t="s">
        <v>136</v>
      </c>
      <c r="J6" s="31"/>
      <c r="K6" s="31"/>
      <c r="N6" s="31" t="s">
        <v>135</v>
      </c>
      <c r="O6" s="31"/>
      <c r="P6" s="31"/>
      <c r="Q6" s="31"/>
      <c r="R6" s="31"/>
      <c r="S6" s="31"/>
      <c r="T6" s="31" t="s">
        <v>136</v>
      </c>
      <c r="U6" s="31"/>
      <c r="V6" s="31"/>
      <c r="W6" s="31"/>
      <c r="X6" s="31"/>
      <c r="Y6" s="31"/>
      <c r="AB6" s="14" t="s">
        <v>135</v>
      </c>
      <c r="AC6" s="14" t="s">
        <v>136</v>
      </c>
    </row>
    <row r="8" spans="3:30" ht="18.75" x14ac:dyDescent="0.3">
      <c r="D8" s="1" t="s">
        <v>137</v>
      </c>
      <c r="F8" s="15" t="s">
        <v>138</v>
      </c>
      <c r="G8" s="15" t="s">
        <v>139</v>
      </c>
      <c r="H8" s="15" t="s">
        <v>140</v>
      </c>
      <c r="I8" s="15" t="s">
        <v>138</v>
      </c>
      <c r="J8" s="15" t="s">
        <v>139</v>
      </c>
      <c r="K8" s="15" t="s">
        <v>140</v>
      </c>
      <c r="L8" s="15" t="s">
        <v>141</v>
      </c>
      <c r="N8" s="15" t="s">
        <v>142</v>
      </c>
      <c r="O8" s="15" t="s">
        <v>143</v>
      </c>
      <c r="P8" s="15" t="s">
        <v>144</v>
      </c>
      <c r="Q8" s="15" t="s">
        <v>145</v>
      </c>
      <c r="R8" s="15" t="s">
        <v>146</v>
      </c>
      <c r="S8" s="15" t="s">
        <v>147</v>
      </c>
      <c r="T8" s="15" t="s">
        <v>142</v>
      </c>
      <c r="U8" s="15" t="s">
        <v>143</v>
      </c>
      <c r="V8" s="15" t="s">
        <v>144</v>
      </c>
      <c r="W8" s="15" t="s">
        <v>145</v>
      </c>
      <c r="X8" s="15" t="s">
        <v>146</v>
      </c>
      <c r="Y8" s="15" t="s">
        <v>147</v>
      </c>
      <c r="Z8" s="15" t="s">
        <v>148</v>
      </c>
      <c r="AB8" s="15" t="s">
        <v>149</v>
      </c>
      <c r="AC8" s="15" t="s">
        <v>149</v>
      </c>
      <c r="AD8" s="16" t="s">
        <v>150</v>
      </c>
    </row>
    <row r="9" spans="3:30" x14ac:dyDescent="0.25">
      <c r="C9" t="s">
        <v>232</v>
      </c>
      <c r="D9">
        <v>1</v>
      </c>
      <c r="F9">
        <v>5.79</v>
      </c>
      <c r="G9">
        <v>6.99</v>
      </c>
      <c r="H9">
        <v>3.23</v>
      </c>
      <c r="I9">
        <v>2.14</v>
      </c>
      <c r="J9">
        <v>2.15</v>
      </c>
      <c r="K9">
        <v>3.03</v>
      </c>
      <c r="L9">
        <v>2.14</v>
      </c>
      <c r="N9">
        <v>5.49</v>
      </c>
      <c r="O9">
        <v>3.59</v>
      </c>
      <c r="P9">
        <v>5.86</v>
      </c>
      <c r="Q9">
        <v>3.72</v>
      </c>
      <c r="R9" t="s">
        <v>151</v>
      </c>
      <c r="S9" t="s">
        <v>152</v>
      </c>
      <c r="T9">
        <v>3.41</v>
      </c>
      <c r="U9">
        <v>2.58</v>
      </c>
      <c r="V9">
        <v>3.84</v>
      </c>
      <c r="W9">
        <v>3.22</v>
      </c>
      <c r="X9">
        <v>2.91</v>
      </c>
      <c r="Y9">
        <v>3</v>
      </c>
      <c r="Z9">
        <v>2.58</v>
      </c>
      <c r="AB9">
        <v>2.1</v>
      </c>
      <c r="AC9">
        <v>1.98</v>
      </c>
      <c r="AD9">
        <v>1.98</v>
      </c>
    </row>
    <row r="10" spans="3:30" x14ac:dyDescent="0.25">
      <c r="D10">
        <v>2</v>
      </c>
      <c r="F10">
        <v>4.29</v>
      </c>
      <c r="G10" t="s">
        <v>153</v>
      </c>
      <c r="H10">
        <v>9.06</v>
      </c>
      <c r="I10">
        <v>1.97</v>
      </c>
      <c r="J10">
        <v>2.14</v>
      </c>
      <c r="K10">
        <v>2.06</v>
      </c>
      <c r="L10">
        <v>1.97</v>
      </c>
      <c r="N10">
        <v>5.77</v>
      </c>
      <c r="O10">
        <v>4</v>
      </c>
      <c r="P10">
        <v>9.98</v>
      </c>
      <c r="Q10" t="s">
        <v>151</v>
      </c>
      <c r="R10">
        <v>5.39</v>
      </c>
      <c r="S10">
        <v>8.91</v>
      </c>
      <c r="T10">
        <v>2.42</v>
      </c>
      <c r="U10">
        <v>2.35</v>
      </c>
      <c r="V10">
        <v>2.21</v>
      </c>
      <c r="W10">
        <v>2.27</v>
      </c>
      <c r="X10">
        <v>3.79</v>
      </c>
      <c r="Y10">
        <v>2.1</v>
      </c>
      <c r="Z10">
        <v>2.1</v>
      </c>
      <c r="AB10">
        <v>1.66</v>
      </c>
      <c r="AC10">
        <v>1.73</v>
      </c>
      <c r="AD10">
        <v>1.66</v>
      </c>
    </row>
    <row r="11" spans="3:30" x14ac:dyDescent="0.25">
      <c r="D11">
        <v>3</v>
      </c>
      <c r="F11">
        <v>4.8499999999999996</v>
      </c>
      <c r="G11">
        <v>5.45</v>
      </c>
      <c r="H11" t="s">
        <v>154</v>
      </c>
      <c r="I11">
        <v>2.73</v>
      </c>
      <c r="J11">
        <v>3.35</v>
      </c>
      <c r="K11">
        <v>3.16</v>
      </c>
      <c r="L11">
        <v>2.73</v>
      </c>
      <c r="N11" t="s">
        <v>151</v>
      </c>
      <c r="O11">
        <v>9.0299999999999994</v>
      </c>
      <c r="P11">
        <v>7.15</v>
      </c>
      <c r="Q11">
        <v>6.16</v>
      </c>
      <c r="R11" t="s">
        <v>155</v>
      </c>
      <c r="S11">
        <v>4.6500000000000004</v>
      </c>
      <c r="T11">
        <v>8.2899999999999991</v>
      </c>
      <c r="U11">
        <v>7.79</v>
      </c>
      <c r="V11">
        <v>2.5099999999999998</v>
      </c>
      <c r="W11">
        <v>2.83</v>
      </c>
      <c r="X11">
        <v>2.5299999999999998</v>
      </c>
      <c r="Y11">
        <v>3.77</v>
      </c>
      <c r="Z11">
        <v>2.5099999999999998</v>
      </c>
      <c r="AB11">
        <v>2.27</v>
      </c>
      <c r="AC11">
        <v>2.17</v>
      </c>
      <c r="AD11">
        <v>2.17</v>
      </c>
    </row>
    <row r="12" spans="3:30" x14ac:dyDescent="0.25">
      <c r="D12">
        <v>4</v>
      </c>
      <c r="F12">
        <v>2.78</v>
      </c>
      <c r="G12">
        <v>4.46</v>
      </c>
      <c r="H12">
        <v>2.58</v>
      </c>
      <c r="I12">
        <v>2.58</v>
      </c>
      <c r="J12">
        <v>3.29</v>
      </c>
      <c r="K12">
        <v>2.27</v>
      </c>
      <c r="L12">
        <v>2.27</v>
      </c>
      <c r="N12" t="s">
        <v>152</v>
      </c>
      <c r="O12" t="s">
        <v>151</v>
      </c>
      <c r="P12" t="s">
        <v>154</v>
      </c>
      <c r="Q12">
        <v>3.23</v>
      </c>
      <c r="R12" t="s">
        <v>155</v>
      </c>
      <c r="S12" t="s">
        <v>151</v>
      </c>
      <c r="T12">
        <v>6.85</v>
      </c>
      <c r="U12">
        <v>3.42</v>
      </c>
      <c r="V12">
        <v>3.73</v>
      </c>
      <c r="W12" t="s">
        <v>151</v>
      </c>
      <c r="X12">
        <v>4.47</v>
      </c>
      <c r="Y12">
        <v>2.59</v>
      </c>
      <c r="Z12">
        <v>2.59</v>
      </c>
      <c r="AB12">
        <v>2.35</v>
      </c>
      <c r="AC12">
        <v>2.27</v>
      </c>
      <c r="AD12">
        <v>2.27</v>
      </c>
    </row>
    <row r="13" spans="3:30" x14ac:dyDescent="0.25">
      <c r="D13">
        <v>5</v>
      </c>
      <c r="F13">
        <v>2.13</v>
      </c>
      <c r="G13">
        <v>2.09</v>
      </c>
      <c r="H13">
        <v>1.98</v>
      </c>
      <c r="I13">
        <v>3.46</v>
      </c>
      <c r="J13">
        <v>2.52</v>
      </c>
      <c r="K13">
        <v>2.27</v>
      </c>
      <c r="L13">
        <v>1.98</v>
      </c>
      <c r="N13">
        <v>1.85</v>
      </c>
      <c r="O13">
        <v>2.15</v>
      </c>
      <c r="P13">
        <v>1.67</v>
      </c>
      <c r="Q13">
        <v>2.17</v>
      </c>
      <c r="R13">
        <v>1.77</v>
      </c>
      <c r="S13">
        <v>1.9</v>
      </c>
      <c r="T13">
        <v>1.91</v>
      </c>
      <c r="U13">
        <v>1.92</v>
      </c>
      <c r="V13">
        <v>2.8</v>
      </c>
      <c r="W13">
        <v>2.58</v>
      </c>
      <c r="X13">
        <v>3.23</v>
      </c>
      <c r="Y13">
        <v>2.27</v>
      </c>
      <c r="Z13">
        <v>1.67</v>
      </c>
      <c r="AB13">
        <v>1.47</v>
      </c>
      <c r="AC13">
        <v>1.27</v>
      </c>
      <c r="AD13">
        <v>1.27</v>
      </c>
    </row>
    <row r="14" spans="3:30" x14ac:dyDescent="0.25">
      <c r="D14">
        <v>6</v>
      </c>
      <c r="F14" t="s">
        <v>152</v>
      </c>
      <c r="G14">
        <v>3.47</v>
      </c>
      <c r="H14">
        <v>5.03</v>
      </c>
      <c r="I14">
        <v>9.14</v>
      </c>
      <c r="J14">
        <v>3.1</v>
      </c>
      <c r="K14">
        <v>4.8499999999999996</v>
      </c>
      <c r="L14">
        <v>3.1</v>
      </c>
      <c r="N14">
        <v>3.92</v>
      </c>
      <c r="O14" t="s">
        <v>152</v>
      </c>
      <c r="P14" t="s">
        <v>151</v>
      </c>
      <c r="Q14">
        <v>6.67</v>
      </c>
      <c r="R14">
        <v>5.58</v>
      </c>
      <c r="S14">
        <v>3.52</v>
      </c>
      <c r="T14">
        <v>4.3499999999999996</v>
      </c>
      <c r="U14">
        <v>2.65</v>
      </c>
      <c r="V14">
        <v>2.64</v>
      </c>
      <c r="W14">
        <v>2.59</v>
      </c>
      <c r="X14">
        <v>2.71</v>
      </c>
      <c r="Y14">
        <v>3.52</v>
      </c>
      <c r="Z14">
        <v>2.59</v>
      </c>
      <c r="AB14">
        <v>2.27</v>
      </c>
      <c r="AC14">
        <v>2.59</v>
      </c>
      <c r="AD14">
        <v>2.27</v>
      </c>
    </row>
    <row r="15" spans="3:30" x14ac:dyDescent="0.25">
      <c r="D15">
        <v>7</v>
      </c>
      <c r="F15">
        <v>3.75</v>
      </c>
      <c r="G15" t="s">
        <v>153</v>
      </c>
      <c r="H15">
        <v>3.9</v>
      </c>
      <c r="I15">
        <v>2.0299999999999998</v>
      </c>
      <c r="J15">
        <v>4.3499999999999996</v>
      </c>
      <c r="K15">
        <v>2.61</v>
      </c>
      <c r="L15">
        <v>2.0299999999999998</v>
      </c>
      <c r="N15">
        <v>4.4000000000000004</v>
      </c>
      <c r="O15" t="s">
        <v>151</v>
      </c>
      <c r="P15">
        <v>2.73</v>
      </c>
      <c r="Q15">
        <v>3.86</v>
      </c>
      <c r="R15" t="s">
        <v>152</v>
      </c>
      <c r="S15">
        <v>5.35</v>
      </c>
      <c r="T15">
        <v>9.91</v>
      </c>
      <c r="U15">
        <v>3.22</v>
      </c>
      <c r="V15" t="s">
        <v>153</v>
      </c>
      <c r="W15" t="s">
        <v>151</v>
      </c>
      <c r="X15" t="s">
        <v>151</v>
      </c>
      <c r="Y15" t="s">
        <v>153</v>
      </c>
      <c r="Z15">
        <v>2.73</v>
      </c>
      <c r="AB15">
        <v>2.1</v>
      </c>
      <c r="AC15">
        <v>2.0299999999999998</v>
      </c>
      <c r="AD15">
        <v>2.0299999999999998</v>
      </c>
    </row>
    <row r="16" spans="3:30" x14ac:dyDescent="0.25">
      <c r="D16">
        <v>8</v>
      </c>
      <c r="F16">
        <v>2.8</v>
      </c>
      <c r="G16">
        <v>2.23</v>
      </c>
      <c r="H16">
        <v>2.0099999999999998</v>
      </c>
      <c r="I16" t="s">
        <v>153</v>
      </c>
      <c r="J16">
        <v>2.29</v>
      </c>
      <c r="K16" t="s">
        <v>155</v>
      </c>
      <c r="L16">
        <v>2.0099999999999998</v>
      </c>
      <c r="N16">
        <v>2.4500000000000002</v>
      </c>
      <c r="O16">
        <v>2.35</v>
      </c>
      <c r="P16">
        <v>2.27</v>
      </c>
      <c r="Q16">
        <v>2.16</v>
      </c>
      <c r="R16">
        <v>2.61</v>
      </c>
      <c r="S16" t="s">
        <v>152</v>
      </c>
      <c r="T16">
        <v>2.58</v>
      </c>
      <c r="U16">
        <v>2.78</v>
      </c>
      <c r="V16">
        <v>2.5499999999999998</v>
      </c>
      <c r="W16" t="s">
        <v>156</v>
      </c>
      <c r="X16">
        <v>3.9</v>
      </c>
      <c r="Y16" t="s">
        <v>156</v>
      </c>
      <c r="Z16">
        <v>2.16</v>
      </c>
      <c r="AB16">
        <v>1.95</v>
      </c>
      <c r="AC16">
        <v>1.67</v>
      </c>
      <c r="AD16">
        <v>1.67</v>
      </c>
    </row>
    <row r="17" spans="4:33" ht="15.75" thickBot="1" x14ac:dyDescent="0.3">
      <c r="D17">
        <v>9</v>
      </c>
      <c r="F17">
        <v>2.84</v>
      </c>
      <c r="G17">
        <v>2.85</v>
      </c>
      <c r="H17">
        <v>2.21</v>
      </c>
      <c r="I17">
        <v>2.2999999999999998</v>
      </c>
      <c r="J17">
        <v>2.6</v>
      </c>
      <c r="K17">
        <v>2.5</v>
      </c>
      <c r="L17">
        <v>2.21</v>
      </c>
      <c r="N17">
        <v>2.23</v>
      </c>
      <c r="O17">
        <v>2.79</v>
      </c>
      <c r="P17">
        <v>2.91</v>
      </c>
      <c r="Q17">
        <v>3.54</v>
      </c>
      <c r="R17">
        <v>3.83</v>
      </c>
      <c r="S17">
        <v>2.72</v>
      </c>
      <c r="T17">
        <v>2.2999999999999998</v>
      </c>
      <c r="U17">
        <v>2.4</v>
      </c>
      <c r="V17">
        <v>2.4</v>
      </c>
      <c r="W17">
        <v>1.7</v>
      </c>
      <c r="X17">
        <v>3.3</v>
      </c>
      <c r="Y17" t="s">
        <v>152</v>
      </c>
      <c r="Z17">
        <v>1.7</v>
      </c>
      <c r="AB17">
        <v>1.77</v>
      </c>
      <c r="AC17">
        <v>1.7</v>
      </c>
      <c r="AD17">
        <v>1.7</v>
      </c>
    </row>
    <row r="18" spans="4:33" x14ac:dyDescent="0.25">
      <c r="D18">
        <v>10</v>
      </c>
      <c r="F18">
        <v>1.85</v>
      </c>
      <c r="G18">
        <v>2.23</v>
      </c>
      <c r="H18">
        <v>1.97</v>
      </c>
      <c r="I18">
        <v>2.1</v>
      </c>
      <c r="J18">
        <v>2.1</v>
      </c>
      <c r="K18">
        <v>2.2000000000000002</v>
      </c>
      <c r="L18">
        <v>1.85</v>
      </c>
      <c r="N18">
        <v>2.5299999999999998</v>
      </c>
      <c r="O18">
        <v>1.73</v>
      </c>
      <c r="P18">
        <v>1.79</v>
      </c>
      <c r="Q18">
        <v>1.77</v>
      </c>
      <c r="R18">
        <v>2.4500000000000002</v>
      </c>
      <c r="S18">
        <v>2.35</v>
      </c>
      <c r="T18">
        <v>2.1</v>
      </c>
      <c r="U18">
        <v>1.9</v>
      </c>
      <c r="V18">
        <v>1.7</v>
      </c>
      <c r="W18">
        <v>1.4</v>
      </c>
      <c r="X18">
        <v>1.8</v>
      </c>
      <c r="Y18">
        <v>1.3</v>
      </c>
      <c r="Z18">
        <v>1.3</v>
      </c>
      <c r="AB18">
        <v>1.73</v>
      </c>
      <c r="AC18">
        <v>1.3</v>
      </c>
      <c r="AD18">
        <v>1.3</v>
      </c>
      <c r="AG18" s="34" t="s">
        <v>152</v>
      </c>
    </row>
    <row r="19" spans="4:33" ht="15.75" thickBot="1" x14ac:dyDescent="0.3">
      <c r="D19">
        <v>11</v>
      </c>
      <c r="F19">
        <v>3.9</v>
      </c>
      <c r="G19">
        <v>2.2999999999999998</v>
      </c>
      <c r="H19">
        <v>3.2</v>
      </c>
      <c r="I19">
        <v>4.8</v>
      </c>
      <c r="J19">
        <v>3.5</v>
      </c>
      <c r="K19">
        <v>2.9</v>
      </c>
      <c r="L19">
        <v>2.2999999999999998</v>
      </c>
      <c r="N19">
        <v>3.8</v>
      </c>
      <c r="O19">
        <v>3.2</v>
      </c>
      <c r="P19">
        <v>2.7</v>
      </c>
      <c r="Q19">
        <v>2.5</v>
      </c>
      <c r="R19">
        <v>3.1</v>
      </c>
      <c r="S19">
        <v>4.3</v>
      </c>
      <c r="T19">
        <v>5.5</v>
      </c>
      <c r="U19">
        <v>4.3</v>
      </c>
      <c r="V19">
        <v>2.8</v>
      </c>
      <c r="W19">
        <v>3</v>
      </c>
      <c r="X19">
        <v>4.0999999999999996</v>
      </c>
      <c r="Y19" t="s">
        <v>157</v>
      </c>
      <c r="Z19">
        <v>2.5</v>
      </c>
      <c r="AB19">
        <v>2</v>
      </c>
      <c r="AC19">
        <v>1.9</v>
      </c>
      <c r="AD19">
        <v>1.9</v>
      </c>
      <c r="AG19" s="32"/>
    </row>
    <row r="20" spans="4:33" x14ac:dyDescent="0.25">
      <c r="D20">
        <v>12</v>
      </c>
      <c r="F20" t="s">
        <v>153</v>
      </c>
      <c r="G20">
        <v>4.8</v>
      </c>
      <c r="H20">
        <v>4.4000000000000004</v>
      </c>
      <c r="I20" t="s">
        <v>157</v>
      </c>
      <c r="J20">
        <v>3</v>
      </c>
      <c r="K20">
        <v>3.1</v>
      </c>
      <c r="L20">
        <v>3</v>
      </c>
      <c r="N20">
        <v>5.5</v>
      </c>
      <c r="O20">
        <v>6</v>
      </c>
      <c r="P20">
        <v>4.01</v>
      </c>
      <c r="Q20">
        <v>5.0999999999999996</v>
      </c>
      <c r="R20" t="s">
        <v>153</v>
      </c>
      <c r="S20">
        <v>4.3</v>
      </c>
      <c r="T20">
        <v>2.9</v>
      </c>
      <c r="U20" t="s">
        <v>156</v>
      </c>
      <c r="V20" t="s">
        <v>156</v>
      </c>
      <c r="W20" t="s">
        <v>158</v>
      </c>
      <c r="X20" t="s">
        <v>158</v>
      </c>
      <c r="Y20">
        <v>2.9</v>
      </c>
      <c r="Z20">
        <v>2.9</v>
      </c>
      <c r="AB20">
        <v>2</v>
      </c>
      <c r="AC20">
        <v>2</v>
      </c>
      <c r="AD20">
        <v>2</v>
      </c>
      <c r="AG20" s="34" t="s">
        <v>153</v>
      </c>
    </row>
    <row r="21" spans="4:33" ht="15.75" thickBot="1" x14ac:dyDescent="0.3">
      <c r="D21">
        <v>13</v>
      </c>
      <c r="F21">
        <v>3.6</v>
      </c>
      <c r="G21">
        <v>3.9</v>
      </c>
      <c r="H21" t="s">
        <v>154</v>
      </c>
      <c r="I21" t="s">
        <v>157</v>
      </c>
      <c r="J21">
        <v>3.1</v>
      </c>
      <c r="K21">
        <v>4.5</v>
      </c>
      <c r="L21">
        <v>3.1</v>
      </c>
      <c r="N21" t="s">
        <v>151</v>
      </c>
      <c r="O21" t="s">
        <v>153</v>
      </c>
      <c r="P21" t="s">
        <v>151</v>
      </c>
      <c r="Q21" t="s">
        <v>153</v>
      </c>
      <c r="R21">
        <v>3.5</v>
      </c>
      <c r="S21">
        <v>3.6</v>
      </c>
      <c r="T21">
        <v>5.4</v>
      </c>
      <c r="U21">
        <v>3.6</v>
      </c>
      <c r="V21">
        <v>3.4</v>
      </c>
      <c r="W21">
        <v>1.8</v>
      </c>
      <c r="X21">
        <v>6.2</v>
      </c>
      <c r="Y21" t="s">
        <v>156</v>
      </c>
      <c r="Z21">
        <v>1.8</v>
      </c>
      <c r="AB21">
        <v>2.2000000000000002</v>
      </c>
      <c r="AC21">
        <v>1.8</v>
      </c>
      <c r="AD21">
        <v>1.8</v>
      </c>
      <c r="AG21" s="33"/>
    </row>
    <row r="22" spans="4:33" x14ac:dyDescent="0.25">
      <c r="D22">
        <v>14</v>
      </c>
      <c r="F22">
        <v>2.8</v>
      </c>
      <c r="G22">
        <v>2.5</v>
      </c>
      <c r="H22">
        <v>2.6</v>
      </c>
      <c r="I22">
        <v>2.8</v>
      </c>
      <c r="J22">
        <v>3.7</v>
      </c>
      <c r="K22">
        <v>5</v>
      </c>
      <c r="L22">
        <v>2.5</v>
      </c>
      <c r="N22">
        <v>2.4</v>
      </c>
      <c r="O22" t="s">
        <v>151</v>
      </c>
      <c r="P22" t="s">
        <v>153</v>
      </c>
      <c r="Q22" t="s">
        <v>153</v>
      </c>
      <c r="R22" t="s">
        <v>153</v>
      </c>
      <c r="S22">
        <v>3.9</v>
      </c>
      <c r="T22">
        <v>5.5</v>
      </c>
      <c r="U22">
        <v>3.4</v>
      </c>
      <c r="V22" t="s">
        <v>158</v>
      </c>
      <c r="W22">
        <v>2.6</v>
      </c>
      <c r="X22">
        <v>3.8</v>
      </c>
      <c r="Y22">
        <v>2.2000000000000002</v>
      </c>
      <c r="Z22">
        <v>2.2000000000000002</v>
      </c>
      <c r="AB22">
        <v>2.2000000000000002</v>
      </c>
      <c r="AC22">
        <v>2</v>
      </c>
      <c r="AD22">
        <v>2</v>
      </c>
      <c r="AG22" s="34" t="s">
        <v>151</v>
      </c>
    </row>
    <row r="23" spans="4:33" ht="15.75" thickBot="1" x14ac:dyDescent="0.3">
      <c r="D23">
        <v>15</v>
      </c>
      <c r="F23">
        <v>2.9</v>
      </c>
      <c r="G23">
        <v>3.8</v>
      </c>
      <c r="H23">
        <v>2.9</v>
      </c>
      <c r="I23" t="s">
        <v>157</v>
      </c>
      <c r="J23" t="s">
        <v>159</v>
      </c>
      <c r="K23" t="s">
        <v>161</v>
      </c>
      <c r="L23">
        <v>2.9</v>
      </c>
      <c r="N23" t="s">
        <v>153</v>
      </c>
      <c r="O23">
        <v>2.7</v>
      </c>
      <c r="P23" t="s">
        <v>152</v>
      </c>
      <c r="Q23">
        <v>6.5</v>
      </c>
      <c r="R23" t="s">
        <v>153</v>
      </c>
      <c r="S23" t="s">
        <v>153</v>
      </c>
      <c r="T23" t="s">
        <v>159</v>
      </c>
      <c r="U23" t="s">
        <v>159</v>
      </c>
      <c r="V23" t="s">
        <v>160</v>
      </c>
      <c r="W23" t="s">
        <v>160</v>
      </c>
      <c r="X23" t="s">
        <v>160</v>
      </c>
      <c r="Y23" t="s">
        <v>160</v>
      </c>
      <c r="Z23">
        <v>2.7</v>
      </c>
      <c r="AB23">
        <v>1.8</v>
      </c>
      <c r="AD23">
        <v>1.8</v>
      </c>
      <c r="AG23" s="33"/>
    </row>
    <row r="24" spans="4:33" x14ac:dyDescent="0.25">
      <c r="D24">
        <v>16</v>
      </c>
      <c r="F24">
        <v>3.8</v>
      </c>
      <c r="G24">
        <v>4.5</v>
      </c>
      <c r="H24">
        <v>3.7</v>
      </c>
      <c r="I24">
        <v>2.9</v>
      </c>
      <c r="J24">
        <v>4.0999999999999996</v>
      </c>
      <c r="K24">
        <v>3.5</v>
      </c>
      <c r="L24">
        <v>2.9</v>
      </c>
      <c r="N24">
        <v>4.7</v>
      </c>
      <c r="O24">
        <v>4.8</v>
      </c>
      <c r="P24">
        <v>3.9</v>
      </c>
      <c r="Q24">
        <v>2.8</v>
      </c>
      <c r="R24" t="s">
        <v>153</v>
      </c>
      <c r="S24" t="s">
        <v>153</v>
      </c>
      <c r="T24">
        <v>6.6</v>
      </c>
      <c r="U24">
        <v>3.5</v>
      </c>
      <c r="V24">
        <v>5.7</v>
      </c>
      <c r="W24" t="s">
        <v>158</v>
      </c>
      <c r="X24">
        <v>8.1999999999999993</v>
      </c>
      <c r="Y24" t="s">
        <v>157</v>
      </c>
      <c r="Z24">
        <v>2.8</v>
      </c>
      <c r="AB24">
        <v>2.2000000000000002</v>
      </c>
      <c r="AC24">
        <v>2.4</v>
      </c>
      <c r="AD24">
        <v>2.2000000000000002</v>
      </c>
      <c r="AG24" s="32" t="s">
        <v>155</v>
      </c>
    </row>
    <row r="25" spans="4:33" ht="15.75" thickBot="1" x14ac:dyDescent="0.3">
      <c r="D25">
        <v>17</v>
      </c>
      <c r="F25">
        <v>3.9</v>
      </c>
      <c r="G25">
        <v>2.1</v>
      </c>
      <c r="H25" t="s">
        <v>153</v>
      </c>
      <c r="I25">
        <v>3.3</v>
      </c>
      <c r="J25">
        <v>3.5</v>
      </c>
      <c r="K25">
        <v>2.8</v>
      </c>
      <c r="L25">
        <v>2.1</v>
      </c>
      <c r="N25">
        <v>3.5</v>
      </c>
      <c r="O25">
        <v>2.8</v>
      </c>
      <c r="P25">
        <v>4.4000000000000004</v>
      </c>
      <c r="Q25" t="s">
        <v>151</v>
      </c>
      <c r="R25" t="s">
        <v>153</v>
      </c>
      <c r="S25" t="s">
        <v>153</v>
      </c>
      <c r="T25">
        <v>4.2</v>
      </c>
      <c r="U25">
        <v>3.2</v>
      </c>
      <c r="V25" t="s">
        <v>156</v>
      </c>
      <c r="W25" t="s">
        <v>158</v>
      </c>
      <c r="X25">
        <v>4.5</v>
      </c>
      <c r="Y25">
        <v>5.7</v>
      </c>
      <c r="Z25">
        <v>2.8</v>
      </c>
      <c r="AB25">
        <v>2.1</v>
      </c>
      <c r="AC25">
        <v>2.2999999999999998</v>
      </c>
      <c r="AD25">
        <v>2.1</v>
      </c>
      <c r="AG25" s="33"/>
    </row>
    <row r="26" spans="4:33" x14ac:dyDescent="0.25">
      <c r="D26">
        <v>18</v>
      </c>
      <c r="F26">
        <v>4.9000000000000004</v>
      </c>
      <c r="G26">
        <v>3.3</v>
      </c>
      <c r="H26">
        <v>2.9</v>
      </c>
      <c r="I26">
        <v>2.4</v>
      </c>
      <c r="J26">
        <v>1.6</v>
      </c>
      <c r="K26">
        <v>2.8</v>
      </c>
      <c r="L26">
        <v>1.6</v>
      </c>
      <c r="N26">
        <v>3.5</v>
      </c>
      <c r="O26">
        <v>4.5999999999999996</v>
      </c>
      <c r="P26">
        <v>2.6</v>
      </c>
      <c r="Q26">
        <v>2.4</v>
      </c>
      <c r="R26">
        <v>2.1</v>
      </c>
      <c r="S26">
        <v>3</v>
      </c>
      <c r="T26" t="s">
        <v>156</v>
      </c>
      <c r="U26">
        <v>4.5</v>
      </c>
      <c r="V26">
        <v>1.8</v>
      </c>
      <c r="W26">
        <v>2.2000000000000002</v>
      </c>
      <c r="X26">
        <v>2.5</v>
      </c>
      <c r="Y26">
        <v>2.1</v>
      </c>
      <c r="Z26">
        <v>1.8</v>
      </c>
      <c r="AB26">
        <v>1.8</v>
      </c>
      <c r="AC26">
        <v>1.6</v>
      </c>
      <c r="AD26">
        <v>1.6</v>
      </c>
      <c r="AF26" t="s">
        <v>270</v>
      </c>
    </row>
    <row r="27" spans="4:33" x14ac:dyDescent="0.25">
      <c r="D27">
        <v>19</v>
      </c>
      <c r="F27" t="s">
        <v>154</v>
      </c>
      <c r="G27">
        <v>4.7</v>
      </c>
      <c r="H27" t="s">
        <v>153</v>
      </c>
      <c r="I27">
        <v>4.4000000000000004</v>
      </c>
      <c r="J27">
        <v>3.8</v>
      </c>
      <c r="K27" t="s">
        <v>156</v>
      </c>
      <c r="L27">
        <v>3.8</v>
      </c>
      <c r="N27">
        <v>3</v>
      </c>
      <c r="O27">
        <v>4</v>
      </c>
      <c r="P27">
        <v>8.1</v>
      </c>
      <c r="Q27" t="s">
        <v>151</v>
      </c>
      <c r="R27">
        <v>3.3</v>
      </c>
      <c r="S27">
        <v>3.1</v>
      </c>
      <c r="T27">
        <v>4.0999999999999996</v>
      </c>
      <c r="U27">
        <v>3.6</v>
      </c>
      <c r="V27">
        <v>3.8</v>
      </c>
      <c r="W27">
        <v>4.4000000000000004</v>
      </c>
      <c r="X27">
        <v>7.3</v>
      </c>
      <c r="Y27">
        <v>3</v>
      </c>
      <c r="Z27">
        <v>3</v>
      </c>
      <c r="AB27">
        <v>2.4</v>
      </c>
      <c r="AC27">
        <v>2.8</v>
      </c>
      <c r="AD27">
        <v>2.4</v>
      </c>
      <c r="AF27" t="s">
        <v>269</v>
      </c>
    </row>
    <row r="28" spans="4:33" x14ac:dyDescent="0.25">
      <c r="D28">
        <v>20</v>
      </c>
      <c r="F28">
        <v>3</v>
      </c>
      <c r="G28">
        <v>2.9</v>
      </c>
      <c r="H28">
        <v>4</v>
      </c>
      <c r="I28" t="s">
        <v>161</v>
      </c>
      <c r="J28" t="s">
        <v>161</v>
      </c>
      <c r="K28" t="s">
        <v>161</v>
      </c>
      <c r="L28">
        <v>2.9</v>
      </c>
      <c r="N28">
        <v>2.4</v>
      </c>
      <c r="O28">
        <v>2</v>
      </c>
      <c r="P28">
        <v>3.2</v>
      </c>
      <c r="Q28">
        <v>6.5</v>
      </c>
      <c r="R28">
        <v>2.4</v>
      </c>
      <c r="S28">
        <v>2.8</v>
      </c>
      <c r="T28">
        <v>4.3</v>
      </c>
      <c r="U28">
        <v>5</v>
      </c>
      <c r="V28">
        <v>2.5</v>
      </c>
      <c r="W28" t="s">
        <v>152</v>
      </c>
      <c r="X28">
        <v>2.9</v>
      </c>
      <c r="Y28">
        <v>4.4000000000000004</v>
      </c>
      <c r="Z28">
        <v>2</v>
      </c>
      <c r="AB28">
        <v>2</v>
      </c>
      <c r="AC28">
        <v>2.5</v>
      </c>
      <c r="AD28">
        <v>2</v>
      </c>
    </row>
    <row r="29" spans="4:33" x14ac:dyDescent="0.25">
      <c r="D29">
        <v>21</v>
      </c>
      <c r="F29">
        <v>3.79</v>
      </c>
      <c r="G29">
        <v>5.47</v>
      </c>
      <c r="H29">
        <v>4.2699999999999996</v>
      </c>
      <c r="I29">
        <v>2.5299999999999998</v>
      </c>
      <c r="J29">
        <v>4.1500000000000004</v>
      </c>
      <c r="K29">
        <v>2.4900000000000002</v>
      </c>
      <c r="L29">
        <v>2.4900000000000002</v>
      </c>
      <c r="N29" t="s">
        <v>151</v>
      </c>
      <c r="O29">
        <v>4.6100000000000003</v>
      </c>
      <c r="P29" t="s">
        <v>151</v>
      </c>
      <c r="Q29">
        <v>5.03</v>
      </c>
      <c r="R29" t="s">
        <v>151</v>
      </c>
      <c r="S29" t="s">
        <v>151</v>
      </c>
      <c r="T29">
        <v>3.77</v>
      </c>
      <c r="U29">
        <v>2.2799999999999998</v>
      </c>
      <c r="V29">
        <v>3.91</v>
      </c>
      <c r="W29">
        <v>3.59</v>
      </c>
      <c r="X29">
        <v>3.61</v>
      </c>
      <c r="Y29">
        <v>3.41</v>
      </c>
      <c r="Z29">
        <v>2.2799999999999998</v>
      </c>
      <c r="AB29">
        <v>1.96</v>
      </c>
      <c r="AC29">
        <v>1.85</v>
      </c>
      <c r="AD29">
        <v>1.85</v>
      </c>
    </row>
    <row r="30" spans="4:33" x14ac:dyDescent="0.25">
      <c r="D30">
        <v>22</v>
      </c>
      <c r="F30">
        <v>9.4700000000000006</v>
      </c>
      <c r="G30" t="s">
        <v>151</v>
      </c>
      <c r="H30" t="s">
        <v>151</v>
      </c>
      <c r="I30">
        <v>2.14</v>
      </c>
      <c r="J30">
        <v>5.78</v>
      </c>
      <c r="K30">
        <v>2.75</v>
      </c>
      <c r="L30">
        <v>2.14</v>
      </c>
      <c r="N30" t="s">
        <v>151</v>
      </c>
      <c r="O30" t="s">
        <v>151</v>
      </c>
      <c r="P30" t="s">
        <v>155</v>
      </c>
      <c r="Q30" t="s">
        <v>155</v>
      </c>
      <c r="R30" t="s">
        <v>153</v>
      </c>
      <c r="S30">
        <v>9.9</v>
      </c>
      <c r="T30">
        <v>7.21</v>
      </c>
      <c r="U30" t="s">
        <v>151</v>
      </c>
      <c r="V30" t="s">
        <v>151</v>
      </c>
      <c r="W30" t="s">
        <v>151</v>
      </c>
      <c r="X30" t="s">
        <v>152</v>
      </c>
      <c r="Y30" t="s">
        <v>151</v>
      </c>
      <c r="Z30">
        <v>7.21</v>
      </c>
      <c r="AB30">
        <v>3.47</v>
      </c>
      <c r="AC30">
        <v>2.14</v>
      </c>
      <c r="AD30">
        <v>2.14</v>
      </c>
    </row>
    <row r="31" spans="4:33" x14ac:dyDescent="0.25">
      <c r="D31">
        <v>23</v>
      </c>
      <c r="F31" t="s">
        <v>152</v>
      </c>
      <c r="G31">
        <v>2.73</v>
      </c>
      <c r="H31">
        <v>3.15</v>
      </c>
      <c r="I31">
        <v>3.03</v>
      </c>
      <c r="J31">
        <v>3.27</v>
      </c>
      <c r="K31">
        <v>2.33</v>
      </c>
      <c r="L31">
        <v>2.33</v>
      </c>
      <c r="N31">
        <v>2.91</v>
      </c>
      <c r="O31" t="s">
        <v>153</v>
      </c>
      <c r="P31" t="s">
        <v>152</v>
      </c>
      <c r="Q31" t="s">
        <v>151</v>
      </c>
      <c r="R31">
        <v>3.92</v>
      </c>
      <c r="S31" t="s">
        <v>151</v>
      </c>
      <c r="T31">
        <v>2.64</v>
      </c>
      <c r="U31">
        <v>2.79</v>
      </c>
      <c r="V31">
        <v>2.4700000000000002</v>
      </c>
      <c r="W31">
        <v>2.67</v>
      </c>
      <c r="X31" t="s">
        <v>152</v>
      </c>
      <c r="Y31" t="s">
        <v>151</v>
      </c>
      <c r="Z31">
        <v>2.4700000000000002</v>
      </c>
      <c r="AB31">
        <v>1.95</v>
      </c>
      <c r="AC31">
        <v>1.47</v>
      </c>
      <c r="AD31">
        <v>1.47</v>
      </c>
    </row>
    <row r="32" spans="4:33" x14ac:dyDescent="0.25">
      <c r="D32">
        <v>24</v>
      </c>
      <c r="F32" t="s">
        <v>153</v>
      </c>
      <c r="G32">
        <v>8.74</v>
      </c>
      <c r="H32">
        <v>5.47</v>
      </c>
      <c r="I32">
        <v>3.06</v>
      </c>
      <c r="J32" t="s">
        <v>152</v>
      </c>
      <c r="K32">
        <v>2.61</v>
      </c>
      <c r="L32">
        <v>2.61</v>
      </c>
      <c r="N32">
        <v>9.2200000000000006</v>
      </c>
      <c r="O32" t="s">
        <v>151</v>
      </c>
      <c r="P32">
        <v>9.4</v>
      </c>
      <c r="Q32">
        <v>3.51</v>
      </c>
      <c r="R32" t="s">
        <v>151</v>
      </c>
      <c r="S32">
        <v>9.86</v>
      </c>
      <c r="T32">
        <v>7.09</v>
      </c>
      <c r="U32">
        <v>9.64</v>
      </c>
      <c r="V32" t="s">
        <v>153</v>
      </c>
      <c r="W32" t="s">
        <v>151</v>
      </c>
      <c r="X32" t="s">
        <v>153</v>
      </c>
      <c r="Y32" t="s">
        <v>151</v>
      </c>
      <c r="Z32">
        <v>3.51</v>
      </c>
      <c r="AB32">
        <v>2.21</v>
      </c>
      <c r="AC32">
        <v>2.0299999999999998</v>
      </c>
      <c r="AD32">
        <v>2.0299999999999998</v>
      </c>
    </row>
    <row r="33" spans="3:30" x14ac:dyDescent="0.25">
      <c r="D33">
        <v>25</v>
      </c>
      <c r="F33">
        <v>2.4</v>
      </c>
      <c r="G33">
        <v>4.9000000000000004</v>
      </c>
      <c r="H33">
        <v>4.9000000000000004</v>
      </c>
      <c r="I33" t="s">
        <v>151</v>
      </c>
      <c r="J33" t="s">
        <v>156</v>
      </c>
      <c r="K33">
        <v>2.4</v>
      </c>
      <c r="L33">
        <v>2.4</v>
      </c>
      <c r="N33" t="s">
        <v>152</v>
      </c>
      <c r="O33">
        <v>5.8</v>
      </c>
      <c r="P33" t="s">
        <v>151</v>
      </c>
      <c r="Q33" t="s">
        <v>152</v>
      </c>
      <c r="R33" t="s">
        <v>151</v>
      </c>
      <c r="S33" t="s">
        <v>153</v>
      </c>
      <c r="T33">
        <v>2.6</v>
      </c>
      <c r="U33" t="s">
        <v>157</v>
      </c>
      <c r="V33" t="s">
        <v>157</v>
      </c>
      <c r="W33" t="s">
        <v>157</v>
      </c>
      <c r="X33">
        <v>6.3</v>
      </c>
      <c r="Y33" t="s">
        <v>158</v>
      </c>
      <c r="Z33">
        <v>2.6</v>
      </c>
      <c r="AB33">
        <v>2</v>
      </c>
      <c r="AC33">
        <v>2.4</v>
      </c>
      <c r="AD33">
        <v>2</v>
      </c>
    </row>
    <row r="34" spans="3:30" x14ac:dyDescent="0.25">
      <c r="D34">
        <v>26</v>
      </c>
      <c r="F34">
        <v>8.2100000000000009</v>
      </c>
      <c r="G34">
        <v>2.97</v>
      </c>
      <c r="H34">
        <v>5.01</v>
      </c>
      <c r="I34">
        <v>5.41</v>
      </c>
      <c r="J34" t="s">
        <v>153</v>
      </c>
      <c r="K34">
        <v>2.41</v>
      </c>
      <c r="L34">
        <v>2.41</v>
      </c>
      <c r="N34" t="s">
        <v>153</v>
      </c>
      <c r="O34" t="s">
        <v>153</v>
      </c>
      <c r="P34">
        <v>3.22</v>
      </c>
      <c r="Q34">
        <v>8.01</v>
      </c>
      <c r="R34" t="s">
        <v>152</v>
      </c>
      <c r="S34" t="s">
        <v>152</v>
      </c>
      <c r="T34" t="s">
        <v>151</v>
      </c>
      <c r="U34" t="s">
        <v>153</v>
      </c>
      <c r="V34">
        <v>3.67</v>
      </c>
      <c r="W34">
        <v>3.64</v>
      </c>
      <c r="X34" t="s">
        <v>153</v>
      </c>
      <c r="Y34" t="s">
        <v>152</v>
      </c>
      <c r="Z34">
        <v>3.22</v>
      </c>
      <c r="AB34">
        <v>1.51</v>
      </c>
      <c r="AC34">
        <v>1.74</v>
      </c>
      <c r="AD34">
        <v>1.51</v>
      </c>
    </row>
    <row r="35" spans="3:30" x14ac:dyDescent="0.25">
      <c r="D35">
        <v>27</v>
      </c>
      <c r="F35" t="s">
        <v>151</v>
      </c>
      <c r="G35" t="s">
        <v>152</v>
      </c>
      <c r="H35">
        <v>5.8</v>
      </c>
      <c r="I35" t="s">
        <v>151</v>
      </c>
      <c r="J35">
        <v>3.1</v>
      </c>
      <c r="K35">
        <v>2.5</v>
      </c>
      <c r="L35">
        <v>2.5</v>
      </c>
      <c r="N35">
        <v>8.1</v>
      </c>
      <c r="O35">
        <v>3.6</v>
      </c>
      <c r="P35">
        <v>3.6</v>
      </c>
      <c r="Q35">
        <v>3.4</v>
      </c>
      <c r="R35" t="s">
        <v>152</v>
      </c>
      <c r="S35">
        <v>3.5</v>
      </c>
      <c r="T35">
        <v>2.5</v>
      </c>
      <c r="U35" t="s">
        <v>153</v>
      </c>
      <c r="V35">
        <v>3.2</v>
      </c>
      <c r="W35" t="s">
        <v>153</v>
      </c>
      <c r="X35">
        <v>4</v>
      </c>
      <c r="Y35" t="s">
        <v>151</v>
      </c>
      <c r="Z35">
        <v>2.5</v>
      </c>
      <c r="AB35">
        <v>1.9</v>
      </c>
      <c r="AC35">
        <v>1.7</v>
      </c>
      <c r="AD35">
        <v>1.7</v>
      </c>
    </row>
    <row r="36" spans="3:30" x14ac:dyDescent="0.25">
      <c r="D36">
        <v>28</v>
      </c>
      <c r="F36">
        <v>3.7</v>
      </c>
      <c r="G36" t="s">
        <v>153</v>
      </c>
      <c r="H36">
        <v>4.3</v>
      </c>
      <c r="I36">
        <v>6.5</v>
      </c>
      <c r="J36">
        <v>2.2999999999999998</v>
      </c>
      <c r="K36">
        <v>2.8</v>
      </c>
      <c r="L36">
        <v>2.2999999999999998</v>
      </c>
      <c r="N36">
        <v>4.5</v>
      </c>
      <c r="O36">
        <v>4.4000000000000004</v>
      </c>
      <c r="P36">
        <v>5.5</v>
      </c>
      <c r="Q36">
        <v>2.9</v>
      </c>
      <c r="R36">
        <v>8.3000000000000007</v>
      </c>
      <c r="S36">
        <v>5.3</v>
      </c>
      <c r="T36" t="s">
        <v>151</v>
      </c>
      <c r="U36" t="s">
        <v>156</v>
      </c>
      <c r="V36">
        <v>4</v>
      </c>
      <c r="W36">
        <v>2.7</v>
      </c>
      <c r="X36">
        <v>7.2</v>
      </c>
      <c r="Y36">
        <v>3.1</v>
      </c>
      <c r="Z36">
        <v>2.7</v>
      </c>
      <c r="AB36">
        <v>2.6</v>
      </c>
      <c r="AC36">
        <v>2.2999999999999998</v>
      </c>
      <c r="AD36">
        <v>2.2999999999999998</v>
      </c>
    </row>
    <row r="37" spans="3:30" x14ac:dyDescent="0.25">
      <c r="D37">
        <v>29</v>
      </c>
      <c r="F37">
        <v>6.1</v>
      </c>
      <c r="G37">
        <v>2.9</v>
      </c>
      <c r="H37" t="s">
        <v>156</v>
      </c>
      <c r="I37">
        <v>5.0999999999999996</v>
      </c>
      <c r="J37">
        <v>4.5</v>
      </c>
      <c r="K37">
        <v>2.2999999999999998</v>
      </c>
      <c r="L37">
        <v>2.2999999999999998</v>
      </c>
      <c r="N37">
        <v>3.2</v>
      </c>
      <c r="O37">
        <v>5.0999999999999996</v>
      </c>
      <c r="P37">
        <v>3.2</v>
      </c>
      <c r="Q37">
        <v>2.6</v>
      </c>
      <c r="R37">
        <v>2</v>
      </c>
      <c r="S37">
        <v>2.6</v>
      </c>
      <c r="T37">
        <v>2</v>
      </c>
      <c r="U37" t="s">
        <v>156</v>
      </c>
      <c r="V37">
        <v>2.2999999999999998</v>
      </c>
      <c r="W37" t="s">
        <v>151</v>
      </c>
      <c r="X37" t="s">
        <v>156</v>
      </c>
      <c r="Y37">
        <v>3.2</v>
      </c>
      <c r="Z37">
        <v>2</v>
      </c>
      <c r="AB37">
        <v>2</v>
      </c>
      <c r="AC37">
        <v>1.9</v>
      </c>
      <c r="AD37">
        <v>1.9</v>
      </c>
    </row>
    <row r="38" spans="3:30" x14ac:dyDescent="0.25">
      <c r="D38">
        <v>30</v>
      </c>
      <c r="F38" t="s">
        <v>152</v>
      </c>
      <c r="G38">
        <v>3.3</v>
      </c>
      <c r="H38">
        <v>4.0999999999999996</v>
      </c>
      <c r="I38">
        <v>2.5</v>
      </c>
      <c r="J38">
        <v>3.2</v>
      </c>
      <c r="K38">
        <v>2.2999999999999998</v>
      </c>
      <c r="L38">
        <v>2.2999999999999998</v>
      </c>
      <c r="N38">
        <v>3.5</v>
      </c>
      <c r="O38">
        <v>2.1</v>
      </c>
      <c r="P38">
        <v>3.1</v>
      </c>
      <c r="Q38">
        <v>3.4</v>
      </c>
      <c r="R38">
        <v>3</v>
      </c>
      <c r="S38">
        <v>2.7</v>
      </c>
      <c r="T38">
        <v>2.1</v>
      </c>
      <c r="U38">
        <v>2.1</v>
      </c>
      <c r="V38">
        <v>3.2</v>
      </c>
      <c r="W38" t="s">
        <v>156</v>
      </c>
      <c r="X38">
        <v>2.9</v>
      </c>
      <c r="Y38" t="s">
        <v>161</v>
      </c>
      <c r="Z38">
        <v>2.1</v>
      </c>
      <c r="AB38">
        <v>1.9</v>
      </c>
      <c r="AC38">
        <v>1.8</v>
      </c>
      <c r="AD38">
        <v>1.8</v>
      </c>
    </row>
    <row r="40" spans="3:30" x14ac:dyDescent="0.25">
      <c r="D40" s="10" t="s">
        <v>162</v>
      </c>
      <c r="E40" s="10"/>
      <c r="F40" t="s">
        <v>163</v>
      </c>
      <c r="G40" t="s">
        <v>164</v>
      </c>
      <c r="H40" t="s">
        <v>165</v>
      </c>
      <c r="I40" t="s">
        <v>163</v>
      </c>
      <c r="J40" t="s">
        <v>166</v>
      </c>
      <c r="K40" t="s">
        <v>167</v>
      </c>
      <c r="N40" t="s">
        <v>168</v>
      </c>
      <c r="O40" t="s">
        <v>169</v>
      </c>
      <c r="P40" t="s">
        <v>170</v>
      </c>
      <c r="Q40" t="s">
        <v>168</v>
      </c>
      <c r="R40" t="s">
        <v>171</v>
      </c>
      <c r="S40" t="s">
        <v>172</v>
      </c>
      <c r="T40" t="s">
        <v>173</v>
      </c>
      <c r="U40" t="s">
        <v>174</v>
      </c>
      <c r="V40" t="s">
        <v>175</v>
      </c>
      <c r="W40" t="s">
        <v>176</v>
      </c>
      <c r="X40" t="s">
        <v>177</v>
      </c>
      <c r="Y40" t="s">
        <v>178</v>
      </c>
    </row>
    <row r="41" spans="3:30" x14ac:dyDescent="0.25">
      <c r="D41" s="10" t="s">
        <v>179</v>
      </c>
      <c r="E41" s="10"/>
      <c r="F41">
        <v>79.310344827586206</v>
      </c>
      <c r="G41">
        <v>83.333333333333329</v>
      </c>
      <c r="H41">
        <v>88.888888888888886</v>
      </c>
      <c r="I41">
        <v>79.310344827586206</v>
      </c>
      <c r="J41">
        <v>89.285714285714292</v>
      </c>
      <c r="K41">
        <v>92.857142857142861</v>
      </c>
      <c r="L41">
        <v>85.497628170041949</v>
      </c>
      <c r="N41">
        <v>73.333333333333329</v>
      </c>
      <c r="O41">
        <v>70</v>
      </c>
      <c r="P41">
        <v>72.41379310344827</v>
      </c>
      <c r="Q41">
        <v>73.333333333333329</v>
      </c>
      <c r="R41">
        <v>50</v>
      </c>
      <c r="S41">
        <v>66.666666666666671</v>
      </c>
      <c r="T41">
        <v>89.65517241379311</v>
      </c>
      <c r="U41">
        <v>81.481481481481481</v>
      </c>
      <c r="V41">
        <v>78.571428571428569</v>
      </c>
      <c r="W41">
        <v>57.142857142857146</v>
      </c>
      <c r="X41">
        <v>75.862068965517238</v>
      </c>
      <c r="Y41">
        <v>59.25925925925926</v>
      </c>
      <c r="Z41">
        <v>70.643282855926529</v>
      </c>
    </row>
    <row r="47" spans="3:30" ht="28.5" x14ac:dyDescent="0.45">
      <c r="C47" s="9" t="s">
        <v>180</v>
      </c>
    </row>
    <row r="48" spans="3:30" ht="18.75" x14ac:dyDescent="0.3">
      <c r="F48" s="31" t="s">
        <v>135</v>
      </c>
      <c r="G48" s="31"/>
      <c r="H48" s="31"/>
      <c r="I48" s="31" t="s">
        <v>136</v>
      </c>
      <c r="J48" s="31"/>
      <c r="K48" s="31"/>
      <c r="N48" s="31" t="s">
        <v>135</v>
      </c>
      <c r="O48" s="31"/>
      <c r="P48" s="31"/>
      <c r="Q48" s="31"/>
      <c r="R48" s="31"/>
      <c r="S48" s="31"/>
      <c r="T48" s="31" t="s">
        <v>136</v>
      </c>
      <c r="U48" s="31"/>
      <c r="V48" s="31"/>
      <c r="W48" s="31"/>
      <c r="X48" s="31"/>
      <c r="Y48" s="31"/>
      <c r="AB48" s="14" t="s">
        <v>135</v>
      </c>
      <c r="AC48" s="14" t="s">
        <v>136</v>
      </c>
    </row>
    <row r="50" spans="4:30" ht="18.75" x14ac:dyDescent="0.3">
      <c r="D50" s="15" t="s">
        <v>137</v>
      </c>
      <c r="E50" s="17"/>
      <c r="F50" s="15" t="s">
        <v>138</v>
      </c>
      <c r="G50" s="15" t="s">
        <v>139</v>
      </c>
      <c r="H50" s="15" t="s">
        <v>140</v>
      </c>
      <c r="I50" s="15" t="s">
        <v>138</v>
      </c>
      <c r="J50" s="15" t="s">
        <v>139</v>
      </c>
      <c r="K50" s="15" t="s">
        <v>140</v>
      </c>
      <c r="L50" s="15" t="s">
        <v>141</v>
      </c>
      <c r="N50" s="15" t="s">
        <v>142</v>
      </c>
      <c r="O50" s="15" t="s">
        <v>143</v>
      </c>
      <c r="P50" s="15" t="s">
        <v>144</v>
      </c>
      <c r="Q50" s="15" t="s">
        <v>145</v>
      </c>
      <c r="R50" s="15" t="s">
        <v>146</v>
      </c>
      <c r="S50" s="15" t="s">
        <v>147</v>
      </c>
      <c r="T50" s="15" t="s">
        <v>142</v>
      </c>
      <c r="U50" s="15" t="s">
        <v>143</v>
      </c>
      <c r="V50" s="15" t="s">
        <v>144</v>
      </c>
      <c r="W50" s="15" t="s">
        <v>145</v>
      </c>
      <c r="X50" s="15" t="s">
        <v>146</v>
      </c>
      <c r="Y50" s="15" t="s">
        <v>147</v>
      </c>
      <c r="Z50" s="15" t="s">
        <v>148</v>
      </c>
      <c r="AB50" s="15" t="s">
        <v>149</v>
      </c>
      <c r="AC50" s="15" t="s">
        <v>149</v>
      </c>
      <c r="AD50" s="16" t="s">
        <v>150</v>
      </c>
    </row>
    <row r="51" spans="4:30" x14ac:dyDescent="0.25">
      <c r="D51">
        <v>1</v>
      </c>
      <c r="F51" t="s">
        <v>155</v>
      </c>
      <c r="G51">
        <v>7.3</v>
      </c>
      <c r="H51" t="s">
        <v>153</v>
      </c>
      <c r="I51">
        <v>3.9</v>
      </c>
      <c r="J51">
        <v>2.8</v>
      </c>
      <c r="K51">
        <v>3.5</v>
      </c>
      <c r="L51">
        <f>MIN(G51:K51)</f>
        <v>2.8</v>
      </c>
      <c r="N51" t="s">
        <v>151</v>
      </c>
      <c r="O51" t="s">
        <v>151</v>
      </c>
      <c r="P51" t="s">
        <v>151</v>
      </c>
      <c r="Q51" t="s">
        <v>151</v>
      </c>
      <c r="R51">
        <v>8.6</v>
      </c>
      <c r="S51" t="s">
        <v>151</v>
      </c>
      <c r="T51">
        <v>4</v>
      </c>
      <c r="U51">
        <v>4.5999999999999996</v>
      </c>
      <c r="V51" t="s">
        <v>152</v>
      </c>
      <c r="W51">
        <v>3.8</v>
      </c>
      <c r="X51" t="s">
        <v>151</v>
      </c>
      <c r="Y51" t="s">
        <v>153</v>
      </c>
      <c r="Z51">
        <f>MIN(R51:Y51)</f>
        <v>3.8</v>
      </c>
      <c r="AB51">
        <v>4.8</v>
      </c>
      <c r="AC51">
        <v>2.8</v>
      </c>
      <c r="AD51">
        <f>MIN(AB51:AC51)</f>
        <v>2.8</v>
      </c>
    </row>
    <row r="52" spans="4:30" x14ac:dyDescent="0.25">
      <c r="D52">
        <v>2</v>
      </c>
      <c r="F52" t="s">
        <v>151</v>
      </c>
      <c r="G52" t="s">
        <v>155</v>
      </c>
      <c r="H52" t="s">
        <v>155</v>
      </c>
      <c r="I52" t="s">
        <v>153</v>
      </c>
      <c r="J52" t="s">
        <v>151</v>
      </c>
      <c r="K52" t="s">
        <v>151</v>
      </c>
      <c r="N52" t="s">
        <v>151</v>
      </c>
      <c r="O52" t="s">
        <v>151</v>
      </c>
      <c r="P52" t="s">
        <v>151</v>
      </c>
      <c r="Q52" t="s">
        <v>151</v>
      </c>
      <c r="R52" t="s">
        <v>151</v>
      </c>
      <c r="S52" t="s">
        <v>152</v>
      </c>
      <c r="T52" t="s">
        <v>151</v>
      </c>
      <c r="U52" t="s">
        <v>151</v>
      </c>
      <c r="V52" t="s">
        <v>151</v>
      </c>
      <c r="W52" t="s">
        <v>151</v>
      </c>
      <c r="X52" t="s">
        <v>151</v>
      </c>
      <c r="Y52" t="s">
        <v>151</v>
      </c>
    </row>
    <row r="53" spans="4:30" x14ac:dyDescent="0.25">
      <c r="D53">
        <v>3</v>
      </c>
      <c r="F53">
        <v>5</v>
      </c>
      <c r="G53">
        <v>2.4</v>
      </c>
      <c r="H53">
        <v>3.8</v>
      </c>
      <c r="I53">
        <v>3</v>
      </c>
      <c r="J53" t="s">
        <v>152</v>
      </c>
      <c r="K53">
        <v>2.5</v>
      </c>
      <c r="L53">
        <f t="shared" ref="L53:L76" si="0">MIN(G53:K53)</f>
        <v>2.4</v>
      </c>
      <c r="N53">
        <v>2.2999999999999998</v>
      </c>
      <c r="O53">
        <v>2.8</v>
      </c>
      <c r="P53">
        <v>3.2</v>
      </c>
      <c r="Q53">
        <v>3.3</v>
      </c>
      <c r="R53" t="s">
        <v>153</v>
      </c>
      <c r="S53">
        <v>2.5</v>
      </c>
      <c r="T53">
        <v>2.5</v>
      </c>
      <c r="U53">
        <v>3.1</v>
      </c>
      <c r="V53" t="s">
        <v>153</v>
      </c>
      <c r="W53">
        <v>4.7</v>
      </c>
      <c r="X53" t="s">
        <v>153</v>
      </c>
      <c r="Y53" t="s">
        <v>153</v>
      </c>
      <c r="Z53">
        <f t="shared" ref="Z53:Z76" si="1">MIN(R53:Y53)</f>
        <v>2.5</v>
      </c>
      <c r="AB53">
        <v>1.8</v>
      </c>
      <c r="AC53">
        <v>2.2000000000000002</v>
      </c>
      <c r="AD53">
        <f t="shared" ref="AD53:AD76" si="2">MIN(AB53:AC53)</f>
        <v>1.8</v>
      </c>
    </row>
    <row r="54" spans="4:30" x14ac:dyDescent="0.25">
      <c r="D54">
        <v>4</v>
      </c>
      <c r="F54" t="s">
        <v>153</v>
      </c>
      <c r="G54">
        <v>5</v>
      </c>
      <c r="H54">
        <v>5.2</v>
      </c>
      <c r="I54">
        <v>4.5</v>
      </c>
      <c r="J54" t="s">
        <v>153</v>
      </c>
      <c r="K54">
        <v>3.5</v>
      </c>
      <c r="L54">
        <f t="shared" si="0"/>
        <v>3.5</v>
      </c>
      <c r="N54">
        <v>3.7</v>
      </c>
      <c r="O54" t="s">
        <v>153</v>
      </c>
      <c r="P54" t="s">
        <v>153</v>
      </c>
      <c r="Q54" t="s">
        <v>153</v>
      </c>
      <c r="R54" t="s">
        <v>153</v>
      </c>
      <c r="S54" t="s">
        <v>153</v>
      </c>
      <c r="T54">
        <v>4.5</v>
      </c>
      <c r="U54">
        <v>4.4000000000000004</v>
      </c>
      <c r="V54">
        <v>5.5</v>
      </c>
      <c r="W54">
        <v>8.6</v>
      </c>
      <c r="X54">
        <v>2.4</v>
      </c>
      <c r="Y54">
        <v>2.8</v>
      </c>
      <c r="Z54">
        <f t="shared" si="1"/>
        <v>2.4</v>
      </c>
      <c r="AB54">
        <v>2.2000000000000002</v>
      </c>
      <c r="AC54">
        <v>2.1</v>
      </c>
      <c r="AD54">
        <f t="shared" si="2"/>
        <v>2.1</v>
      </c>
    </row>
    <row r="55" spans="4:30" x14ac:dyDescent="0.25">
      <c r="D55">
        <v>5</v>
      </c>
      <c r="F55">
        <v>3.7</v>
      </c>
      <c r="G55">
        <v>3.5</v>
      </c>
      <c r="H55">
        <v>6.5</v>
      </c>
      <c r="I55">
        <v>6.7</v>
      </c>
      <c r="J55" t="s">
        <v>153</v>
      </c>
      <c r="K55">
        <v>3.2</v>
      </c>
      <c r="L55">
        <f t="shared" si="0"/>
        <v>3.2</v>
      </c>
      <c r="N55">
        <v>5.0999999999999996</v>
      </c>
      <c r="O55">
        <v>4.0999999999999996</v>
      </c>
      <c r="P55">
        <v>4.3</v>
      </c>
      <c r="Q55">
        <v>3.1</v>
      </c>
      <c r="R55">
        <v>3.3</v>
      </c>
      <c r="S55">
        <v>5.6</v>
      </c>
      <c r="T55">
        <v>2.9</v>
      </c>
      <c r="U55">
        <v>7.1</v>
      </c>
      <c r="V55">
        <v>3.2</v>
      </c>
      <c r="W55">
        <v>4</v>
      </c>
      <c r="X55">
        <v>3</v>
      </c>
      <c r="Y55">
        <v>3.4</v>
      </c>
      <c r="Z55">
        <f t="shared" si="1"/>
        <v>2.9</v>
      </c>
      <c r="AB55">
        <v>2.8</v>
      </c>
      <c r="AC55">
        <v>2.5</v>
      </c>
      <c r="AD55">
        <f t="shared" si="2"/>
        <v>2.5</v>
      </c>
    </row>
    <row r="56" spans="4:30" x14ac:dyDescent="0.25">
      <c r="D56">
        <v>6</v>
      </c>
      <c r="F56">
        <v>2.9</v>
      </c>
      <c r="G56">
        <v>2.5</v>
      </c>
      <c r="H56">
        <v>3.8</v>
      </c>
      <c r="I56">
        <v>2.7</v>
      </c>
      <c r="J56">
        <v>4.4000000000000004</v>
      </c>
      <c r="K56">
        <v>4.0999999999999996</v>
      </c>
      <c r="L56">
        <f t="shared" si="0"/>
        <v>2.5</v>
      </c>
      <c r="N56">
        <v>2.8</v>
      </c>
      <c r="O56">
        <v>2</v>
      </c>
      <c r="P56">
        <v>2.7</v>
      </c>
      <c r="Q56">
        <v>4.5</v>
      </c>
      <c r="R56">
        <v>3.3</v>
      </c>
      <c r="S56">
        <v>2.2999999999999998</v>
      </c>
      <c r="T56">
        <v>9.1999999999999993</v>
      </c>
      <c r="U56">
        <v>5.2</v>
      </c>
      <c r="V56" t="s">
        <v>152</v>
      </c>
      <c r="W56">
        <v>3.3</v>
      </c>
      <c r="X56" t="s">
        <v>151</v>
      </c>
      <c r="Y56" t="s">
        <v>152</v>
      </c>
      <c r="Z56">
        <f t="shared" si="1"/>
        <v>2.2999999999999998</v>
      </c>
      <c r="AB56">
        <v>2</v>
      </c>
      <c r="AC56">
        <v>2</v>
      </c>
      <c r="AD56">
        <f t="shared" si="2"/>
        <v>2</v>
      </c>
    </row>
    <row r="57" spans="4:30" x14ac:dyDescent="0.25">
      <c r="D57">
        <v>7</v>
      </c>
      <c r="F57" t="s">
        <v>153</v>
      </c>
      <c r="G57">
        <v>3.6</v>
      </c>
      <c r="H57">
        <v>3.8</v>
      </c>
      <c r="I57">
        <v>2.9</v>
      </c>
      <c r="J57">
        <v>5.2</v>
      </c>
      <c r="K57">
        <v>3</v>
      </c>
      <c r="L57">
        <f t="shared" si="0"/>
        <v>2.9</v>
      </c>
      <c r="N57">
        <v>4.3</v>
      </c>
      <c r="O57">
        <v>4.5</v>
      </c>
      <c r="P57">
        <v>3.1</v>
      </c>
      <c r="Q57">
        <v>2.8</v>
      </c>
      <c r="R57">
        <v>3.9</v>
      </c>
      <c r="S57">
        <v>3.3</v>
      </c>
      <c r="T57">
        <v>2.9</v>
      </c>
      <c r="U57">
        <v>2.8</v>
      </c>
      <c r="V57">
        <v>3.4</v>
      </c>
      <c r="W57">
        <v>6.2</v>
      </c>
      <c r="X57">
        <v>2.8</v>
      </c>
      <c r="Y57" t="s">
        <v>151</v>
      </c>
      <c r="Z57">
        <f t="shared" si="1"/>
        <v>2.8</v>
      </c>
      <c r="AB57">
        <v>2.7</v>
      </c>
      <c r="AC57">
        <v>2.1</v>
      </c>
      <c r="AD57">
        <f t="shared" si="2"/>
        <v>2.1</v>
      </c>
    </row>
    <row r="58" spans="4:30" x14ac:dyDescent="0.25">
      <c r="D58">
        <v>8</v>
      </c>
      <c r="F58">
        <v>4.4000000000000004</v>
      </c>
      <c r="G58">
        <v>4.5999999999999996</v>
      </c>
      <c r="H58">
        <v>4</v>
      </c>
      <c r="I58">
        <v>3.3</v>
      </c>
      <c r="J58" t="s">
        <v>151</v>
      </c>
      <c r="K58" t="s">
        <v>156</v>
      </c>
      <c r="L58">
        <f t="shared" si="0"/>
        <v>3.3</v>
      </c>
      <c r="N58" t="s">
        <v>153</v>
      </c>
      <c r="O58">
        <v>3.2</v>
      </c>
      <c r="P58">
        <v>2.8</v>
      </c>
      <c r="Q58">
        <v>3.2</v>
      </c>
      <c r="R58">
        <v>2.7</v>
      </c>
      <c r="S58" t="s">
        <v>153</v>
      </c>
      <c r="T58">
        <v>3.5</v>
      </c>
      <c r="U58">
        <v>3.7</v>
      </c>
      <c r="V58">
        <v>4.3</v>
      </c>
      <c r="W58">
        <v>3.7</v>
      </c>
      <c r="X58" t="s">
        <v>156</v>
      </c>
      <c r="Y58">
        <v>3.8</v>
      </c>
      <c r="Z58">
        <f t="shared" si="1"/>
        <v>2.7</v>
      </c>
      <c r="AB58">
        <v>2.6</v>
      </c>
      <c r="AC58">
        <v>3</v>
      </c>
      <c r="AD58">
        <f t="shared" si="2"/>
        <v>2.6</v>
      </c>
    </row>
    <row r="59" spans="4:30" x14ac:dyDescent="0.25">
      <c r="D59">
        <v>9</v>
      </c>
      <c r="F59">
        <v>5.9</v>
      </c>
      <c r="G59">
        <v>7.6</v>
      </c>
      <c r="H59" t="s">
        <v>153</v>
      </c>
      <c r="I59">
        <v>3.9</v>
      </c>
      <c r="J59">
        <v>4.3</v>
      </c>
      <c r="K59">
        <v>3.5</v>
      </c>
      <c r="L59">
        <f t="shared" si="0"/>
        <v>3.5</v>
      </c>
      <c r="N59">
        <v>5.0999999999999996</v>
      </c>
      <c r="O59">
        <v>5.9</v>
      </c>
      <c r="P59" t="s">
        <v>153</v>
      </c>
      <c r="Q59">
        <v>5.7</v>
      </c>
      <c r="R59" t="s">
        <v>151</v>
      </c>
      <c r="S59">
        <v>8.6999999999999993</v>
      </c>
      <c r="T59" t="s">
        <v>153</v>
      </c>
      <c r="U59">
        <v>6.5</v>
      </c>
      <c r="V59">
        <v>5.0999999999999996</v>
      </c>
      <c r="W59">
        <v>9.6</v>
      </c>
      <c r="X59" t="s">
        <v>151</v>
      </c>
      <c r="Y59" t="s">
        <v>152</v>
      </c>
      <c r="Z59">
        <f t="shared" si="1"/>
        <v>5.0999999999999996</v>
      </c>
      <c r="AB59">
        <v>3.5</v>
      </c>
      <c r="AC59">
        <v>3</v>
      </c>
      <c r="AD59">
        <f t="shared" si="2"/>
        <v>3</v>
      </c>
    </row>
    <row r="60" spans="4:30" x14ac:dyDescent="0.25">
      <c r="D60">
        <v>10</v>
      </c>
      <c r="F60" t="s">
        <v>153</v>
      </c>
      <c r="G60">
        <v>3.3</v>
      </c>
      <c r="H60">
        <v>3</v>
      </c>
      <c r="I60">
        <v>3.3</v>
      </c>
      <c r="J60">
        <v>2.1</v>
      </c>
      <c r="K60">
        <v>2.9</v>
      </c>
      <c r="L60">
        <f t="shared" si="0"/>
        <v>2.1</v>
      </c>
      <c r="N60">
        <v>2.6</v>
      </c>
      <c r="O60">
        <v>3.5</v>
      </c>
      <c r="P60">
        <v>3.1</v>
      </c>
      <c r="Q60">
        <v>2.9</v>
      </c>
      <c r="R60">
        <v>3.4</v>
      </c>
      <c r="S60">
        <v>8.9</v>
      </c>
      <c r="T60">
        <v>2.9</v>
      </c>
      <c r="U60" t="s">
        <v>156</v>
      </c>
      <c r="V60" t="s">
        <v>152</v>
      </c>
      <c r="W60">
        <v>4.2</v>
      </c>
      <c r="X60">
        <v>9.1999999999999993</v>
      </c>
      <c r="Y60">
        <v>4.7</v>
      </c>
      <c r="Z60">
        <f t="shared" si="1"/>
        <v>2.9</v>
      </c>
      <c r="AB60">
        <v>1.8</v>
      </c>
      <c r="AC60">
        <v>1.9</v>
      </c>
      <c r="AD60">
        <f t="shared" si="2"/>
        <v>1.8</v>
      </c>
    </row>
    <row r="61" spans="4:30" x14ac:dyDescent="0.25">
      <c r="D61">
        <v>11</v>
      </c>
      <c r="F61">
        <v>4.3</v>
      </c>
      <c r="G61" t="s">
        <v>152</v>
      </c>
      <c r="H61">
        <v>3.1</v>
      </c>
      <c r="I61" t="s">
        <v>151</v>
      </c>
      <c r="J61">
        <v>6.1</v>
      </c>
      <c r="K61">
        <v>2.8</v>
      </c>
      <c r="L61">
        <f t="shared" si="0"/>
        <v>2.8</v>
      </c>
      <c r="N61">
        <v>8.1999999999999993</v>
      </c>
      <c r="O61">
        <v>4.5999999999999996</v>
      </c>
      <c r="P61">
        <v>6.6</v>
      </c>
      <c r="Q61">
        <v>2.9</v>
      </c>
      <c r="R61">
        <v>3.1</v>
      </c>
      <c r="S61">
        <v>2.7</v>
      </c>
      <c r="T61">
        <v>6.4</v>
      </c>
      <c r="U61" t="s">
        <v>153</v>
      </c>
      <c r="V61" t="s">
        <v>151</v>
      </c>
      <c r="W61">
        <v>8.6</v>
      </c>
      <c r="X61" t="s">
        <v>152</v>
      </c>
      <c r="Y61" t="s">
        <v>151</v>
      </c>
      <c r="Z61">
        <f t="shared" si="1"/>
        <v>2.7</v>
      </c>
      <c r="AB61">
        <v>2.1</v>
      </c>
      <c r="AC61">
        <v>1.9</v>
      </c>
      <c r="AD61">
        <f t="shared" si="2"/>
        <v>1.9</v>
      </c>
    </row>
    <row r="62" spans="4:30" x14ac:dyDescent="0.25">
      <c r="D62">
        <v>12</v>
      </c>
      <c r="F62" t="s">
        <v>151</v>
      </c>
      <c r="G62">
        <v>7.1</v>
      </c>
      <c r="H62" t="s">
        <v>153</v>
      </c>
      <c r="I62">
        <v>5.0999999999999996</v>
      </c>
      <c r="J62" t="s">
        <v>153</v>
      </c>
      <c r="K62">
        <v>3.8</v>
      </c>
      <c r="L62">
        <f t="shared" si="0"/>
        <v>3.8</v>
      </c>
      <c r="N62" t="s">
        <v>151</v>
      </c>
      <c r="O62">
        <v>9.3000000000000007</v>
      </c>
      <c r="P62" t="s">
        <v>153</v>
      </c>
      <c r="Q62">
        <v>6.2</v>
      </c>
      <c r="R62" t="s">
        <v>151</v>
      </c>
      <c r="S62">
        <v>2.7</v>
      </c>
      <c r="T62">
        <v>4.8</v>
      </c>
      <c r="U62" t="s">
        <v>152</v>
      </c>
      <c r="V62" t="s">
        <v>151</v>
      </c>
      <c r="W62">
        <v>3.9</v>
      </c>
      <c r="X62">
        <v>2.6</v>
      </c>
      <c r="Y62" t="s">
        <v>153</v>
      </c>
      <c r="Z62">
        <f t="shared" si="1"/>
        <v>2.6</v>
      </c>
      <c r="AB62">
        <v>2.5</v>
      </c>
      <c r="AC62">
        <v>2.2000000000000002</v>
      </c>
      <c r="AD62">
        <f t="shared" si="2"/>
        <v>2.2000000000000002</v>
      </c>
    </row>
    <row r="63" spans="4:30" x14ac:dyDescent="0.25">
      <c r="D63">
        <v>13</v>
      </c>
      <c r="F63">
        <v>6</v>
      </c>
      <c r="G63">
        <v>4.9000000000000004</v>
      </c>
      <c r="H63">
        <v>6.1</v>
      </c>
      <c r="I63">
        <v>3.9</v>
      </c>
      <c r="J63">
        <v>4.7</v>
      </c>
      <c r="K63">
        <v>4.2</v>
      </c>
      <c r="L63">
        <f t="shared" si="0"/>
        <v>3.9</v>
      </c>
      <c r="N63">
        <v>6.6</v>
      </c>
      <c r="O63">
        <v>8.1999999999999993</v>
      </c>
      <c r="P63">
        <v>3.4</v>
      </c>
      <c r="Q63">
        <v>7.3</v>
      </c>
      <c r="R63">
        <v>7</v>
      </c>
      <c r="S63">
        <v>4.4000000000000004</v>
      </c>
      <c r="T63">
        <v>6</v>
      </c>
      <c r="U63">
        <v>6.9</v>
      </c>
      <c r="V63">
        <v>6.2</v>
      </c>
      <c r="W63">
        <v>5</v>
      </c>
      <c r="X63">
        <v>5.0999999999999996</v>
      </c>
      <c r="Y63">
        <v>6.3</v>
      </c>
      <c r="Z63">
        <f t="shared" si="1"/>
        <v>4.4000000000000004</v>
      </c>
      <c r="AB63">
        <v>2.6</v>
      </c>
      <c r="AC63">
        <v>2.4</v>
      </c>
      <c r="AD63">
        <f t="shared" si="2"/>
        <v>2.4</v>
      </c>
    </row>
    <row r="64" spans="4:30" x14ac:dyDescent="0.25">
      <c r="D64">
        <v>14</v>
      </c>
      <c r="F64" t="s">
        <v>153</v>
      </c>
      <c r="G64" t="s">
        <v>153</v>
      </c>
      <c r="H64">
        <v>5.2</v>
      </c>
      <c r="I64" t="s">
        <v>156</v>
      </c>
      <c r="J64" t="s">
        <v>156</v>
      </c>
      <c r="K64" t="s">
        <v>156</v>
      </c>
      <c r="L64">
        <f t="shared" si="0"/>
        <v>5.2</v>
      </c>
      <c r="N64" t="s">
        <v>156</v>
      </c>
      <c r="O64" t="s">
        <v>156</v>
      </c>
      <c r="P64" t="s">
        <v>151</v>
      </c>
      <c r="Q64" t="s">
        <v>156</v>
      </c>
      <c r="R64" t="s">
        <v>151</v>
      </c>
      <c r="S64" t="s">
        <v>156</v>
      </c>
      <c r="T64" t="s">
        <v>156</v>
      </c>
      <c r="U64" t="s">
        <v>156</v>
      </c>
      <c r="V64" t="s">
        <v>156</v>
      </c>
      <c r="W64" t="s">
        <v>156</v>
      </c>
      <c r="X64" t="s">
        <v>156</v>
      </c>
      <c r="Y64" t="s">
        <v>156</v>
      </c>
      <c r="AB64">
        <v>5.2</v>
      </c>
      <c r="AD64">
        <f t="shared" si="2"/>
        <v>5.2</v>
      </c>
    </row>
    <row r="65" spans="4:30" x14ac:dyDescent="0.25">
      <c r="D65">
        <v>15</v>
      </c>
      <c r="F65" t="s">
        <v>152</v>
      </c>
      <c r="G65">
        <v>4.9000000000000004</v>
      </c>
      <c r="H65">
        <v>3.8</v>
      </c>
      <c r="I65">
        <v>6.8</v>
      </c>
      <c r="J65">
        <v>3.3</v>
      </c>
      <c r="K65">
        <v>5.3</v>
      </c>
      <c r="L65">
        <f t="shared" si="0"/>
        <v>3.3</v>
      </c>
      <c r="N65">
        <v>6.1</v>
      </c>
      <c r="O65">
        <v>3.6</v>
      </c>
      <c r="P65">
        <v>5.9</v>
      </c>
      <c r="Q65">
        <v>5.3</v>
      </c>
      <c r="R65">
        <v>6.6</v>
      </c>
      <c r="S65">
        <v>5.2</v>
      </c>
      <c r="T65">
        <v>6.5</v>
      </c>
      <c r="U65">
        <v>7.7</v>
      </c>
      <c r="V65">
        <v>6.7</v>
      </c>
      <c r="W65" t="s">
        <v>152</v>
      </c>
      <c r="X65" t="s">
        <v>153</v>
      </c>
      <c r="Y65" t="s">
        <v>153</v>
      </c>
      <c r="Z65">
        <f t="shared" si="1"/>
        <v>5.2</v>
      </c>
      <c r="AB65">
        <v>2.8</v>
      </c>
      <c r="AC65">
        <v>2.5</v>
      </c>
      <c r="AD65">
        <f t="shared" si="2"/>
        <v>2.5</v>
      </c>
    </row>
    <row r="66" spans="4:30" x14ac:dyDescent="0.25">
      <c r="D66">
        <v>16</v>
      </c>
      <c r="F66">
        <v>3.2</v>
      </c>
      <c r="G66" t="s">
        <v>156</v>
      </c>
      <c r="H66">
        <v>5.2</v>
      </c>
      <c r="I66">
        <v>2.9</v>
      </c>
      <c r="J66">
        <v>2.7</v>
      </c>
      <c r="K66">
        <v>3</v>
      </c>
      <c r="L66">
        <f t="shared" si="0"/>
        <v>2.7</v>
      </c>
      <c r="N66" t="s">
        <v>153</v>
      </c>
      <c r="O66" t="s">
        <v>151</v>
      </c>
      <c r="P66" t="s">
        <v>152</v>
      </c>
      <c r="Q66" t="s">
        <v>153</v>
      </c>
      <c r="R66">
        <v>8.5</v>
      </c>
      <c r="S66" t="s">
        <v>151</v>
      </c>
      <c r="T66">
        <v>5.5</v>
      </c>
      <c r="U66">
        <v>3.5</v>
      </c>
      <c r="V66" t="s">
        <v>152</v>
      </c>
      <c r="W66" t="s">
        <v>153</v>
      </c>
      <c r="X66" t="s">
        <v>153</v>
      </c>
      <c r="Y66" t="s">
        <v>151</v>
      </c>
      <c r="Z66">
        <f t="shared" si="1"/>
        <v>3.5</v>
      </c>
      <c r="AB66">
        <v>2.2999999999999998</v>
      </c>
      <c r="AC66">
        <v>2.1</v>
      </c>
      <c r="AD66">
        <f t="shared" si="2"/>
        <v>2.1</v>
      </c>
    </row>
    <row r="67" spans="4:30" x14ac:dyDescent="0.25">
      <c r="D67">
        <v>17</v>
      </c>
      <c r="F67">
        <v>3.2</v>
      </c>
      <c r="G67">
        <v>3</v>
      </c>
      <c r="H67">
        <v>2.6</v>
      </c>
      <c r="I67">
        <v>3</v>
      </c>
      <c r="J67">
        <v>2.9</v>
      </c>
      <c r="K67">
        <v>4.2</v>
      </c>
      <c r="L67">
        <f t="shared" si="0"/>
        <v>2.6</v>
      </c>
      <c r="N67">
        <v>3.7</v>
      </c>
      <c r="O67" t="s">
        <v>153</v>
      </c>
      <c r="P67" t="s">
        <v>153</v>
      </c>
      <c r="Q67" t="s">
        <v>153</v>
      </c>
      <c r="R67" t="s">
        <v>153</v>
      </c>
      <c r="S67" t="s">
        <v>151</v>
      </c>
      <c r="T67">
        <v>2.7</v>
      </c>
      <c r="U67">
        <v>2.5</v>
      </c>
      <c r="V67">
        <v>3.2</v>
      </c>
      <c r="W67">
        <v>2.4</v>
      </c>
      <c r="X67">
        <v>2.4</v>
      </c>
      <c r="Z67">
        <f t="shared" si="1"/>
        <v>2.4</v>
      </c>
      <c r="AB67">
        <v>2.2999999999999998</v>
      </c>
      <c r="AC67">
        <v>2.1</v>
      </c>
      <c r="AD67">
        <f t="shared" si="2"/>
        <v>2.1</v>
      </c>
    </row>
    <row r="68" spans="4:30" x14ac:dyDescent="0.25">
      <c r="D68">
        <v>18</v>
      </c>
      <c r="F68">
        <v>5.6</v>
      </c>
      <c r="G68">
        <v>6.1</v>
      </c>
      <c r="H68">
        <v>4.9000000000000004</v>
      </c>
      <c r="I68">
        <v>7</v>
      </c>
      <c r="J68">
        <v>5.9</v>
      </c>
      <c r="K68">
        <v>6.6</v>
      </c>
      <c r="L68">
        <f t="shared" si="0"/>
        <v>4.9000000000000004</v>
      </c>
      <c r="N68" t="s">
        <v>152</v>
      </c>
      <c r="O68" t="s">
        <v>153</v>
      </c>
      <c r="P68">
        <v>5.2</v>
      </c>
      <c r="Q68">
        <v>5.8</v>
      </c>
      <c r="R68">
        <v>7.1</v>
      </c>
      <c r="S68" t="s">
        <v>153</v>
      </c>
      <c r="T68">
        <v>7.3</v>
      </c>
      <c r="U68">
        <v>6.8</v>
      </c>
      <c r="V68">
        <v>8</v>
      </c>
      <c r="W68">
        <v>6.9</v>
      </c>
      <c r="X68">
        <v>6.3</v>
      </c>
      <c r="Y68">
        <v>5</v>
      </c>
      <c r="Z68">
        <f t="shared" si="1"/>
        <v>5</v>
      </c>
      <c r="AB68">
        <v>4.8</v>
      </c>
      <c r="AC68">
        <v>4.5999999999999996</v>
      </c>
      <c r="AD68">
        <f t="shared" si="2"/>
        <v>4.5999999999999996</v>
      </c>
    </row>
    <row r="69" spans="4:30" x14ac:dyDescent="0.25">
      <c r="D69">
        <v>19</v>
      </c>
      <c r="F69">
        <v>3.4</v>
      </c>
      <c r="G69">
        <v>4.9000000000000004</v>
      </c>
      <c r="H69">
        <v>3.2</v>
      </c>
      <c r="I69">
        <v>2.6</v>
      </c>
      <c r="J69">
        <v>2.5</v>
      </c>
      <c r="K69">
        <v>2.2999999999999998</v>
      </c>
      <c r="L69">
        <f t="shared" si="0"/>
        <v>2.2999999999999998</v>
      </c>
      <c r="N69" t="s">
        <v>152</v>
      </c>
      <c r="O69">
        <v>8.89</v>
      </c>
      <c r="P69">
        <v>6.64</v>
      </c>
      <c r="Q69">
        <v>6.42</v>
      </c>
      <c r="R69" t="s">
        <v>152</v>
      </c>
      <c r="S69" t="s">
        <v>152</v>
      </c>
      <c r="T69" t="s">
        <v>153</v>
      </c>
      <c r="U69">
        <v>2.5</v>
      </c>
      <c r="V69">
        <v>3.3</v>
      </c>
      <c r="W69">
        <v>4.2</v>
      </c>
      <c r="X69">
        <v>4.7</v>
      </c>
      <c r="Y69">
        <v>3.8</v>
      </c>
      <c r="Z69">
        <f t="shared" si="1"/>
        <v>2.5</v>
      </c>
      <c r="AB69">
        <v>2.29</v>
      </c>
      <c r="AC69">
        <v>2.2999999999999998</v>
      </c>
      <c r="AD69">
        <f t="shared" si="2"/>
        <v>2.29</v>
      </c>
    </row>
    <row r="70" spans="4:30" x14ac:dyDescent="0.25">
      <c r="D70">
        <v>20</v>
      </c>
      <c r="F70">
        <v>3.9</v>
      </c>
      <c r="G70">
        <v>7.1</v>
      </c>
      <c r="H70">
        <v>2.8</v>
      </c>
      <c r="I70">
        <v>2.2000000000000002</v>
      </c>
      <c r="J70">
        <v>2.6</v>
      </c>
      <c r="K70">
        <v>2.2000000000000002</v>
      </c>
      <c r="L70">
        <f t="shared" si="0"/>
        <v>2.2000000000000002</v>
      </c>
      <c r="N70">
        <v>4.3</v>
      </c>
      <c r="O70">
        <v>3.9</v>
      </c>
      <c r="P70">
        <v>3.9</v>
      </c>
      <c r="Q70">
        <v>3.7</v>
      </c>
      <c r="R70">
        <v>2.8</v>
      </c>
      <c r="S70">
        <v>3.3</v>
      </c>
      <c r="T70">
        <v>6.4</v>
      </c>
      <c r="U70">
        <v>4.2</v>
      </c>
      <c r="V70">
        <v>2.7</v>
      </c>
      <c r="W70">
        <v>3.4</v>
      </c>
      <c r="X70">
        <v>2.1</v>
      </c>
      <c r="Y70">
        <v>2.4</v>
      </c>
      <c r="Z70">
        <f t="shared" si="1"/>
        <v>2.1</v>
      </c>
      <c r="AB70">
        <v>2.2000000000000002</v>
      </c>
      <c r="AC70">
        <v>2</v>
      </c>
      <c r="AD70">
        <f t="shared" si="2"/>
        <v>2</v>
      </c>
    </row>
    <row r="71" spans="4:30" x14ac:dyDescent="0.25">
      <c r="D71">
        <v>21</v>
      </c>
      <c r="F71" t="s">
        <v>152</v>
      </c>
      <c r="G71" t="s">
        <v>153</v>
      </c>
      <c r="H71" t="s">
        <v>151</v>
      </c>
      <c r="I71" t="s">
        <v>181</v>
      </c>
      <c r="N71" t="s">
        <v>151</v>
      </c>
      <c r="O71" t="s">
        <v>155</v>
      </c>
      <c r="P71" t="s">
        <v>153</v>
      </c>
      <c r="Q71" t="s">
        <v>151</v>
      </c>
      <c r="R71" t="s">
        <v>153</v>
      </c>
      <c r="S71" t="s">
        <v>155</v>
      </c>
      <c r="AB71">
        <v>5.2</v>
      </c>
      <c r="AD71">
        <f t="shared" si="2"/>
        <v>5.2</v>
      </c>
    </row>
    <row r="72" spans="4:30" x14ac:dyDescent="0.25">
      <c r="D72">
        <v>22</v>
      </c>
      <c r="F72" t="s">
        <v>155</v>
      </c>
      <c r="G72">
        <v>3.67</v>
      </c>
      <c r="H72">
        <v>6.03</v>
      </c>
      <c r="I72">
        <v>2.9</v>
      </c>
      <c r="J72">
        <v>3.5</v>
      </c>
      <c r="K72">
        <v>3</v>
      </c>
      <c r="L72">
        <f t="shared" si="0"/>
        <v>2.9</v>
      </c>
      <c r="N72">
        <v>3.15</v>
      </c>
      <c r="O72" t="s">
        <v>151</v>
      </c>
      <c r="P72" t="s">
        <v>152</v>
      </c>
      <c r="Q72">
        <v>4.99</v>
      </c>
      <c r="R72">
        <v>8.7200000000000006</v>
      </c>
      <c r="S72" t="s">
        <v>152</v>
      </c>
      <c r="T72">
        <v>3.2</v>
      </c>
      <c r="U72">
        <v>3.6</v>
      </c>
      <c r="V72">
        <v>4.9000000000000004</v>
      </c>
      <c r="W72">
        <v>3.7</v>
      </c>
      <c r="X72">
        <v>4.2</v>
      </c>
      <c r="Y72">
        <v>4.0999999999999996</v>
      </c>
      <c r="Z72">
        <f t="shared" si="1"/>
        <v>3.2</v>
      </c>
      <c r="AB72">
        <v>2.67</v>
      </c>
      <c r="AC72">
        <v>2.5</v>
      </c>
      <c r="AD72">
        <f t="shared" si="2"/>
        <v>2.5</v>
      </c>
    </row>
    <row r="73" spans="4:30" x14ac:dyDescent="0.25">
      <c r="D73">
        <v>23</v>
      </c>
      <c r="F73">
        <v>7.6</v>
      </c>
      <c r="G73">
        <v>5.8</v>
      </c>
      <c r="H73">
        <v>3.4</v>
      </c>
      <c r="I73">
        <v>4.4000000000000004</v>
      </c>
      <c r="J73" t="s">
        <v>153</v>
      </c>
      <c r="K73">
        <v>4.7</v>
      </c>
      <c r="L73">
        <f t="shared" si="0"/>
        <v>3.4</v>
      </c>
      <c r="N73" t="s">
        <v>153</v>
      </c>
      <c r="O73">
        <v>4.4000000000000004</v>
      </c>
      <c r="P73">
        <v>4.8</v>
      </c>
      <c r="Q73">
        <v>7.2</v>
      </c>
      <c r="R73">
        <v>4.2</v>
      </c>
      <c r="S73">
        <v>5.4</v>
      </c>
      <c r="T73">
        <v>3.6</v>
      </c>
      <c r="U73">
        <v>4.0999999999999996</v>
      </c>
      <c r="V73" t="s">
        <v>152</v>
      </c>
      <c r="W73" t="s">
        <v>153</v>
      </c>
      <c r="X73" t="s">
        <v>151</v>
      </c>
      <c r="Y73">
        <v>3.8</v>
      </c>
      <c r="Z73">
        <f t="shared" si="1"/>
        <v>3.6</v>
      </c>
      <c r="AB73">
        <v>3.2</v>
      </c>
      <c r="AC73">
        <v>3</v>
      </c>
      <c r="AD73">
        <f t="shared" si="2"/>
        <v>3</v>
      </c>
    </row>
    <row r="74" spans="4:30" x14ac:dyDescent="0.25">
      <c r="D74">
        <v>24</v>
      </c>
      <c r="F74">
        <v>3.66</v>
      </c>
      <c r="G74">
        <v>3.35</v>
      </c>
      <c r="H74">
        <v>3.47</v>
      </c>
      <c r="I74">
        <v>3</v>
      </c>
      <c r="J74">
        <v>2</v>
      </c>
      <c r="K74">
        <v>2.9</v>
      </c>
      <c r="L74">
        <f t="shared" si="0"/>
        <v>2</v>
      </c>
      <c r="N74">
        <v>3.15</v>
      </c>
      <c r="O74">
        <v>7.55</v>
      </c>
      <c r="P74">
        <v>5.51</v>
      </c>
      <c r="Q74">
        <v>2.33</v>
      </c>
      <c r="R74">
        <v>4.6500000000000004</v>
      </c>
      <c r="S74">
        <v>4.54</v>
      </c>
      <c r="T74">
        <v>2.2999999999999998</v>
      </c>
      <c r="U74">
        <v>2.4</v>
      </c>
      <c r="V74">
        <v>2.2999999999999998</v>
      </c>
      <c r="W74">
        <v>2.6</v>
      </c>
      <c r="X74">
        <v>2.4</v>
      </c>
      <c r="Y74">
        <v>2.4</v>
      </c>
      <c r="Z74">
        <f t="shared" si="1"/>
        <v>2.2999999999999998</v>
      </c>
      <c r="AB74">
        <v>2.33</v>
      </c>
      <c r="AC74">
        <v>2</v>
      </c>
      <c r="AD74">
        <f t="shared" si="2"/>
        <v>2</v>
      </c>
    </row>
    <row r="75" spans="4:30" x14ac:dyDescent="0.25">
      <c r="D75">
        <v>25</v>
      </c>
      <c r="F75">
        <v>3</v>
      </c>
      <c r="G75">
        <v>5.5</v>
      </c>
      <c r="H75">
        <v>4.3</v>
      </c>
      <c r="I75">
        <v>2.8</v>
      </c>
      <c r="J75">
        <v>2.9</v>
      </c>
      <c r="K75">
        <v>3</v>
      </c>
      <c r="L75">
        <f t="shared" si="0"/>
        <v>2.8</v>
      </c>
      <c r="N75">
        <v>6.1</v>
      </c>
      <c r="O75">
        <v>9.6999999999999993</v>
      </c>
      <c r="P75" t="s">
        <v>151</v>
      </c>
      <c r="Q75" t="s">
        <v>151</v>
      </c>
      <c r="R75">
        <v>5.8</v>
      </c>
      <c r="S75">
        <v>6.9</v>
      </c>
      <c r="T75">
        <v>4.3</v>
      </c>
      <c r="U75">
        <v>2.7</v>
      </c>
      <c r="V75">
        <v>5.3</v>
      </c>
      <c r="W75">
        <v>3</v>
      </c>
      <c r="X75">
        <v>3.3</v>
      </c>
      <c r="Y75">
        <v>3.3</v>
      </c>
      <c r="Z75">
        <f t="shared" si="1"/>
        <v>2.7</v>
      </c>
      <c r="AB75">
        <v>2.5</v>
      </c>
      <c r="AC75">
        <v>2</v>
      </c>
      <c r="AD75">
        <f t="shared" si="2"/>
        <v>2</v>
      </c>
    </row>
    <row r="76" spans="4:30" x14ac:dyDescent="0.25">
      <c r="D76">
        <v>26</v>
      </c>
      <c r="F76">
        <v>6.29</v>
      </c>
      <c r="G76">
        <v>5.85</v>
      </c>
      <c r="H76">
        <v>8.66</v>
      </c>
      <c r="I76">
        <v>4.4000000000000004</v>
      </c>
      <c r="J76">
        <v>3.7</v>
      </c>
      <c r="K76">
        <v>3.4</v>
      </c>
      <c r="L76">
        <f t="shared" si="0"/>
        <v>3.4</v>
      </c>
      <c r="N76" t="s">
        <v>152</v>
      </c>
      <c r="O76">
        <v>7.61</v>
      </c>
      <c r="P76">
        <v>5.16</v>
      </c>
      <c r="Q76" t="s">
        <v>153</v>
      </c>
      <c r="R76" t="s">
        <v>151</v>
      </c>
      <c r="S76" t="s">
        <v>152</v>
      </c>
      <c r="T76" t="s">
        <v>153</v>
      </c>
      <c r="U76">
        <v>6.2</v>
      </c>
      <c r="V76" t="s">
        <v>153</v>
      </c>
      <c r="W76">
        <v>4.7</v>
      </c>
      <c r="X76">
        <v>5</v>
      </c>
      <c r="Y76">
        <v>5</v>
      </c>
      <c r="Z76">
        <f t="shared" si="1"/>
        <v>4.7</v>
      </c>
      <c r="AB76">
        <v>2.4700000000000002</v>
      </c>
      <c r="AC76">
        <v>2.5</v>
      </c>
      <c r="AD76">
        <f t="shared" si="2"/>
        <v>2.4700000000000002</v>
      </c>
    </row>
    <row r="78" spans="4:30" x14ac:dyDescent="0.25">
      <c r="D78" s="10" t="s">
        <v>162</v>
      </c>
      <c r="E78" s="10"/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N78" t="s">
        <v>188</v>
      </c>
      <c r="O78" t="s">
        <v>189</v>
      </c>
      <c r="P78" t="s">
        <v>190</v>
      </c>
      <c r="Q78" t="s">
        <v>189</v>
      </c>
      <c r="R78" t="s">
        <v>182</v>
      </c>
      <c r="S78" t="s">
        <v>191</v>
      </c>
      <c r="T78" t="s">
        <v>192</v>
      </c>
      <c r="U78" t="s">
        <v>193</v>
      </c>
      <c r="V78" t="s">
        <v>194</v>
      </c>
      <c r="W78" t="s">
        <v>192</v>
      </c>
      <c r="X78" t="s">
        <v>195</v>
      </c>
      <c r="Y78" s="18" t="s">
        <v>196</v>
      </c>
    </row>
    <row r="79" spans="4:30" x14ac:dyDescent="0.25">
      <c r="D79" s="10" t="s">
        <v>179</v>
      </c>
      <c r="E79" s="10"/>
      <c r="F79">
        <f>1600/26</f>
        <v>61.53846153846154</v>
      </c>
      <c r="G79">
        <f>2100/25</f>
        <v>84</v>
      </c>
      <c r="H79">
        <f>2100/26</f>
        <v>80.769230769230774</v>
      </c>
      <c r="I79">
        <f>2200/24</f>
        <v>91.666666666666671</v>
      </c>
      <c r="J79">
        <f>1700/24</f>
        <v>70.833333333333329</v>
      </c>
      <c r="K79">
        <f>2200/23</f>
        <v>95.652173913043484</v>
      </c>
      <c r="N79">
        <f>1500/25</f>
        <v>60</v>
      </c>
      <c r="O79">
        <f>1700/25</f>
        <v>68</v>
      </c>
      <c r="P79">
        <f>1500/26</f>
        <v>57.692307692307693</v>
      </c>
      <c r="Q79">
        <f>1700/25</f>
        <v>68</v>
      </c>
      <c r="R79">
        <f>1600/26</f>
        <v>61.53846153846154</v>
      </c>
      <c r="S79">
        <f>1400/25</f>
        <v>56</v>
      </c>
      <c r="T79">
        <f>2000/24</f>
        <v>83.333333333333329</v>
      </c>
      <c r="U79">
        <f>2000/23</f>
        <v>86.956521739130437</v>
      </c>
      <c r="V79">
        <f>1400/24</f>
        <v>58.333333333333336</v>
      </c>
      <c r="W79">
        <f>2000/24</f>
        <v>83.333333333333329</v>
      </c>
      <c r="X79">
        <f>1400/23</f>
        <v>60.869565217391305</v>
      </c>
      <c r="Y79">
        <f>1000/24</f>
        <v>41.666666666666664</v>
      </c>
    </row>
    <row r="83" spans="3:30" ht="28.5" x14ac:dyDescent="0.45">
      <c r="C83" s="9" t="s">
        <v>197</v>
      </c>
    </row>
    <row r="85" spans="3:30" ht="18.75" x14ac:dyDescent="0.3">
      <c r="F85" s="31" t="s">
        <v>135</v>
      </c>
      <c r="G85" s="31"/>
      <c r="H85" s="31"/>
      <c r="I85" s="31" t="s">
        <v>136</v>
      </c>
      <c r="J85" s="31"/>
      <c r="K85" s="31"/>
      <c r="N85" s="31" t="s">
        <v>135</v>
      </c>
      <c r="O85" s="31"/>
      <c r="P85" s="31"/>
      <c r="Q85" s="31"/>
      <c r="R85" s="31"/>
      <c r="S85" s="31"/>
      <c r="T85" s="31" t="s">
        <v>136</v>
      </c>
      <c r="U85" s="31"/>
      <c r="V85" s="31"/>
      <c r="W85" s="31"/>
      <c r="X85" s="31"/>
      <c r="Y85" s="31"/>
      <c r="AB85" s="14" t="s">
        <v>135</v>
      </c>
      <c r="AC85" s="14" t="s">
        <v>136</v>
      </c>
    </row>
    <row r="87" spans="3:30" ht="18.75" x14ac:dyDescent="0.3">
      <c r="D87" s="15" t="s">
        <v>137</v>
      </c>
      <c r="E87" s="17"/>
      <c r="F87" s="15" t="s">
        <v>138</v>
      </c>
      <c r="G87" s="15" t="s">
        <v>139</v>
      </c>
      <c r="H87" s="15" t="s">
        <v>140</v>
      </c>
      <c r="I87" s="15" t="s">
        <v>138</v>
      </c>
      <c r="J87" s="15" t="s">
        <v>139</v>
      </c>
      <c r="K87" s="15" t="s">
        <v>140</v>
      </c>
      <c r="L87" s="15" t="s">
        <v>141</v>
      </c>
      <c r="N87" s="15" t="s">
        <v>142</v>
      </c>
      <c r="O87" s="15" t="s">
        <v>143</v>
      </c>
      <c r="P87" s="15" t="s">
        <v>144</v>
      </c>
      <c r="Q87" s="15" t="s">
        <v>145</v>
      </c>
      <c r="R87" s="15" t="s">
        <v>146</v>
      </c>
      <c r="S87" s="15" t="s">
        <v>147</v>
      </c>
      <c r="T87" s="15" t="s">
        <v>142</v>
      </c>
      <c r="U87" s="15" t="s">
        <v>143</v>
      </c>
      <c r="V87" s="15" t="s">
        <v>144</v>
      </c>
      <c r="W87" s="15" t="s">
        <v>145</v>
      </c>
      <c r="X87" s="15" t="s">
        <v>146</v>
      </c>
      <c r="Y87" s="15" t="s">
        <v>147</v>
      </c>
      <c r="Z87" s="15" t="s">
        <v>148</v>
      </c>
      <c r="AB87" s="15" t="s">
        <v>149</v>
      </c>
      <c r="AC87" s="15" t="s">
        <v>149</v>
      </c>
      <c r="AD87" s="16" t="s">
        <v>150</v>
      </c>
    </row>
    <row r="88" spans="3:30" x14ac:dyDescent="0.25">
      <c r="D88">
        <v>1</v>
      </c>
      <c r="F88" t="s">
        <v>151</v>
      </c>
      <c r="G88" t="s">
        <v>155</v>
      </c>
      <c r="H88" t="s">
        <v>155</v>
      </c>
      <c r="I88" t="s">
        <v>155</v>
      </c>
      <c r="J88" t="s">
        <v>155</v>
      </c>
      <c r="K88" t="s">
        <v>155</v>
      </c>
      <c r="N88" t="s">
        <v>155</v>
      </c>
      <c r="O88" t="s">
        <v>151</v>
      </c>
      <c r="P88" t="s">
        <v>155</v>
      </c>
      <c r="Q88" t="s">
        <v>151</v>
      </c>
      <c r="R88" t="s">
        <v>151</v>
      </c>
      <c r="S88" t="s">
        <v>155</v>
      </c>
      <c r="T88" t="s">
        <v>151</v>
      </c>
      <c r="U88" t="s">
        <v>153</v>
      </c>
      <c r="V88" t="s">
        <v>151</v>
      </c>
      <c r="W88" t="s">
        <v>151</v>
      </c>
      <c r="X88" t="s">
        <v>151</v>
      </c>
      <c r="Y88" t="s">
        <v>151</v>
      </c>
    </row>
    <row r="89" spans="3:30" x14ac:dyDescent="0.25">
      <c r="D89">
        <v>2</v>
      </c>
      <c r="F89">
        <v>1.67</v>
      </c>
      <c r="G89">
        <v>9.73</v>
      </c>
      <c r="H89">
        <v>1.59</v>
      </c>
      <c r="I89">
        <v>2.29</v>
      </c>
      <c r="J89">
        <v>3.1</v>
      </c>
      <c r="K89">
        <v>2.72</v>
      </c>
      <c r="N89">
        <v>4.3499999999999996</v>
      </c>
      <c r="O89">
        <v>3.06</v>
      </c>
      <c r="P89">
        <v>3.8</v>
      </c>
      <c r="Q89">
        <v>3.29</v>
      </c>
      <c r="R89">
        <v>2.5299999999999998</v>
      </c>
      <c r="S89">
        <v>3.17</v>
      </c>
      <c r="T89">
        <v>3.21</v>
      </c>
      <c r="U89">
        <v>2.39</v>
      </c>
      <c r="V89">
        <v>2.4700000000000002</v>
      </c>
      <c r="W89">
        <v>2.9</v>
      </c>
      <c r="X89">
        <v>3.1</v>
      </c>
      <c r="Y89">
        <v>2.4700000000000002</v>
      </c>
      <c r="AB89">
        <v>1.49</v>
      </c>
      <c r="AC89">
        <v>1.73</v>
      </c>
      <c r="AD89">
        <f>MIN(AB89:AC89)</f>
        <v>1.49</v>
      </c>
    </row>
    <row r="90" spans="3:30" x14ac:dyDescent="0.25">
      <c r="D90">
        <v>3</v>
      </c>
      <c r="F90">
        <v>4.17</v>
      </c>
      <c r="G90">
        <v>2.31</v>
      </c>
      <c r="H90">
        <v>3.53</v>
      </c>
      <c r="I90">
        <v>2.95</v>
      </c>
      <c r="J90">
        <v>3.92</v>
      </c>
      <c r="K90">
        <v>2.58</v>
      </c>
      <c r="N90">
        <v>2.39</v>
      </c>
      <c r="O90" t="s">
        <v>156</v>
      </c>
      <c r="P90">
        <v>4.09</v>
      </c>
      <c r="Q90">
        <v>3.67</v>
      </c>
      <c r="R90" t="s">
        <v>152</v>
      </c>
      <c r="S90">
        <v>4.9000000000000004</v>
      </c>
      <c r="T90">
        <v>4.78</v>
      </c>
      <c r="U90">
        <v>2.73</v>
      </c>
      <c r="V90">
        <v>4.6100000000000003</v>
      </c>
      <c r="W90">
        <v>4.22</v>
      </c>
      <c r="X90">
        <v>3.09</v>
      </c>
      <c r="Y90">
        <v>2.5099999999999998</v>
      </c>
      <c r="AB90">
        <v>2.31</v>
      </c>
      <c r="AC90">
        <v>2.4700000000000002</v>
      </c>
      <c r="AD90">
        <f t="shared" ref="AD90:AD123" si="3">MIN(AB90:AC90)</f>
        <v>2.31</v>
      </c>
    </row>
    <row r="91" spans="3:30" x14ac:dyDescent="0.25">
      <c r="D91">
        <v>4</v>
      </c>
      <c r="F91">
        <v>3.29</v>
      </c>
      <c r="G91">
        <v>8.83</v>
      </c>
      <c r="H91">
        <v>4.4000000000000004</v>
      </c>
      <c r="I91">
        <v>2.35</v>
      </c>
      <c r="J91">
        <v>4.84</v>
      </c>
      <c r="K91">
        <v>2.71</v>
      </c>
      <c r="N91">
        <v>3.22</v>
      </c>
      <c r="O91">
        <v>4.09</v>
      </c>
      <c r="P91">
        <v>6.03</v>
      </c>
      <c r="Q91">
        <v>3.35</v>
      </c>
      <c r="R91">
        <v>3.77</v>
      </c>
      <c r="S91">
        <v>6.67</v>
      </c>
      <c r="T91">
        <v>4.1399999999999997</v>
      </c>
      <c r="U91">
        <v>4.16</v>
      </c>
      <c r="V91">
        <v>2.87</v>
      </c>
      <c r="W91">
        <v>4.0599999999999996</v>
      </c>
      <c r="X91">
        <v>4.53</v>
      </c>
      <c r="Y91">
        <v>4.21</v>
      </c>
      <c r="AB91">
        <v>2.2200000000000002</v>
      </c>
      <c r="AC91">
        <v>2.27</v>
      </c>
      <c r="AD91">
        <f t="shared" si="3"/>
        <v>2.2200000000000002</v>
      </c>
    </row>
    <row r="92" spans="3:30" x14ac:dyDescent="0.25">
      <c r="D92">
        <v>5</v>
      </c>
      <c r="F92">
        <v>8.36</v>
      </c>
      <c r="G92">
        <v>3.91</v>
      </c>
      <c r="H92">
        <v>3.73</v>
      </c>
      <c r="I92" t="s">
        <v>152</v>
      </c>
      <c r="J92">
        <v>2.72</v>
      </c>
      <c r="K92">
        <v>2.84</v>
      </c>
      <c r="N92">
        <v>3.11</v>
      </c>
      <c r="O92" t="s">
        <v>152</v>
      </c>
      <c r="P92">
        <v>3.1</v>
      </c>
      <c r="Q92">
        <v>4.8</v>
      </c>
      <c r="R92" t="s">
        <v>156</v>
      </c>
      <c r="S92">
        <v>2.83</v>
      </c>
      <c r="T92" t="s">
        <v>153</v>
      </c>
      <c r="U92">
        <v>4.09</v>
      </c>
      <c r="V92">
        <v>6.91</v>
      </c>
      <c r="W92">
        <v>6.27</v>
      </c>
      <c r="X92" t="s">
        <v>153</v>
      </c>
      <c r="Y92">
        <v>6.14</v>
      </c>
      <c r="AB92">
        <v>2.21</v>
      </c>
      <c r="AC92">
        <v>2.72</v>
      </c>
      <c r="AD92">
        <f t="shared" si="3"/>
        <v>2.21</v>
      </c>
    </row>
    <row r="93" spans="3:30" x14ac:dyDescent="0.25">
      <c r="D93">
        <v>6</v>
      </c>
      <c r="F93">
        <v>5.47</v>
      </c>
      <c r="G93">
        <v>3.55</v>
      </c>
      <c r="H93">
        <v>2.97</v>
      </c>
      <c r="I93">
        <v>3.03</v>
      </c>
      <c r="J93">
        <v>2.83</v>
      </c>
      <c r="K93">
        <v>2.41</v>
      </c>
      <c r="N93">
        <v>2.4300000000000002</v>
      </c>
      <c r="O93">
        <v>2.41</v>
      </c>
      <c r="P93">
        <v>2.35</v>
      </c>
      <c r="Q93">
        <v>3.83</v>
      </c>
      <c r="R93">
        <v>2.97</v>
      </c>
      <c r="S93">
        <v>3.52</v>
      </c>
      <c r="T93">
        <v>2.8</v>
      </c>
      <c r="U93">
        <v>3.06</v>
      </c>
      <c r="V93">
        <v>2.79</v>
      </c>
      <c r="W93">
        <v>2.48</v>
      </c>
      <c r="X93">
        <v>4.03</v>
      </c>
      <c r="Y93">
        <v>2.86</v>
      </c>
      <c r="AB93">
        <v>2.0299999999999998</v>
      </c>
      <c r="AC93">
        <v>2.0299999999999998</v>
      </c>
      <c r="AD93">
        <f t="shared" si="3"/>
        <v>2.0299999999999998</v>
      </c>
    </row>
    <row r="94" spans="3:30" x14ac:dyDescent="0.25">
      <c r="D94">
        <v>7</v>
      </c>
      <c r="F94">
        <v>2.85</v>
      </c>
      <c r="G94">
        <v>4.03</v>
      </c>
      <c r="H94">
        <v>3.66</v>
      </c>
      <c r="I94">
        <v>4.3</v>
      </c>
      <c r="J94">
        <v>2.4</v>
      </c>
      <c r="K94">
        <v>3.6</v>
      </c>
      <c r="N94">
        <v>2.9</v>
      </c>
      <c r="O94">
        <v>2.5299999999999998</v>
      </c>
      <c r="P94">
        <v>5.53</v>
      </c>
      <c r="Q94">
        <v>4.42</v>
      </c>
      <c r="R94">
        <v>2.86</v>
      </c>
      <c r="S94">
        <v>4.21</v>
      </c>
      <c r="T94">
        <v>2.6</v>
      </c>
      <c r="U94">
        <v>3.1</v>
      </c>
      <c r="V94" t="s">
        <v>153</v>
      </c>
      <c r="W94">
        <v>2.2000000000000002</v>
      </c>
      <c r="X94" t="s">
        <v>153</v>
      </c>
      <c r="Y94" t="s">
        <v>152</v>
      </c>
      <c r="AB94">
        <v>2.21</v>
      </c>
      <c r="AC94">
        <v>2.2000000000000002</v>
      </c>
      <c r="AD94">
        <f t="shared" si="3"/>
        <v>2.2000000000000002</v>
      </c>
    </row>
    <row r="95" spans="3:30" x14ac:dyDescent="0.25">
      <c r="D95">
        <v>8</v>
      </c>
      <c r="F95">
        <v>3.98</v>
      </c>
      <c r="G95">
        <v>3.53</v>
      </c>
      <c r="H95">
        <v>3.67</v>
      </c>
      <c r="I95">
        <v>3.7</v>
      </c>
      <c r="J95">
        <v>3.1</v>
      </c>
      <c r="K95">
        <v>3.9</v>
      </c>
      <c r="N95">
        <v>4.41</v>
      </c>
      <c r="O95">
        <v>3.41</v>
      </c>
      <c r="P95">
        <v>6.53</v>
      </c>
      <c r="Q95">
        <v>7.06</v>
      </c>
      <c r="R95">
        <v>5.97</v>
      </c>
      <c r="S95">
        <v>6.58</v>
      </c>
      <c r="T95">
        <v>5.0999999999999996</v>
      </c>
      <c r="U95" t="s">
        <v>152</v>
      </c>
      <c r="V95">
        <v>5.8</v>
      </c>
      <c r="W95">
        <v>3.8</v>
      </c>
      <c r="X95">
        <v>3.7</v>
      </c>
      <c r="Y95" t="s">
        <v>152</v>
      </c>
      <c r="AB95">
        <v>2.66</v>
      </c>
      <c r="AC95">
        <v>2.6</v>
      </c>
      <c r="AD95">
        <f t="shared" si="3"/>
        <v>2.6</v>
      </c>
    </row>
    <row r="96" spans="3:30" x14ac:dyDescent="0.25">
      <c r="D96">
        <v>9</v>
      </c>
      <c r="F96" t="s">
        <v>152</v>
      </c>
      <c r="G96">
        <v>6.03</v>
      </c>
      <c r="H96" t="s">
        <v>153</v>
      </c>
      <c r="I96">
        <v>7.1</v>
      </c>
      <c r="J96">
        <v>3.7</v>
      </c>
      <c r="K96">
        <v>5.4</v>
      </c>
      <c r="N96">
        <v>5.83</v>
      </c>
      <c r="O96">
        <v>4.46</v>
      </c>
      <c r="P96">
        <v>8.35</v>
      </c>
      <c r="Q96">
        <v>4.3499999999999996</v>
      </c>
      <c r="R96">
        <v>3.8</v>
      </c>
      <c r="S96">
        <v>9.85</v>
      </c>
      <c r="T96">
        <v>2.8</v>
      </c>
      <c r="U96">
        <v>5.2</v>
      </c>
      <c r="V96">
        <v>3.6</v>
      </c>
      <c r="W96">
        <v>5.9</v>
      </c>
      <c r="X96" t="s">
        <v>153</v>
      </c>
      <c r="Y96" t="s">
        <v>153</v>
      </c>
      <c r="AB96">
        <v>2.16</v>
      </c>
      <c r="AC96">
        <v>2</v>
      </c>
      <c r="AD96">
        <f t="shared" si="3"/>
        <v>2</v>
      </c>
    </row>
    <row r="97" spans="4:30" x14ac:dyDescent="0.25">
      <c r="D97">
        <v>10</v>
      </c>
      <c r="F97">
        <v>3.16</v>
      </c>
      <c r="G97">
        <v>5.51</v>
      </c>
      <c r="H97">
        <v>3.01</v>
      </c>
      <c r="I97">
        <v>2.85</v>
      </c>
      <c r="J97">
        <v>5.14</v>
      </c>
      <c r="K97">
        <v>2.36</v>
      </c>
      <c r="N97">
        <v>3.4</v>
      </c>
      <c r="O97">
        <v>2.9</v>
      </c>
      <c r="P97">
        <v>2.5099999999999998</v>
      </c>
      <c r="Q97">
        <v>3.2</v>
      </c>
      <c r="R97">
        <v>3.15</v>
      </c>
      <c r="S97">
        <v>2.35</v>
      </c>
      <c r="T97">
        <v>2.5499999999999998</v>
      </c>
      <c r="U97">
        <v>2.0499999999999998</v>
      </c>
      <c r="V97">
        <v>2.36</v>
      </c>
      <c r="W97">
        <v>3.95</v>
      </c>
      <c r="X97">
        <v>2.4700000000000002</v>
      </c>
      <c r="Y97">
        <v>3.22</v>
      </c>
      <c r="AB97">
        <v>1.73</v>
      </c>
      <c r="AC97">
        <v>2.0299999999999998</v>
      </c>
      <c r="AD97">
        <f t="shared" si="3"/>
        <v>1.73</v>
      </c>
    </row>
    <row r="98" spans="4:30" x14ac:dyDescent="0.25">
      <c r="D98">
        <v>11</v>
      </c>
      <c r="F98">
        <v>4.0999999999999996</v>
      </c>
      <c r="G98">
        <v>3.97</v>
      </c>
      <c r="H98">
        <v>6.58</v>
      </c>
      <c r="I98">
        <v>2.9</v>
      </c>
      <c r="J98">
        <v>2.7</v>
      </c>
      <c r="K98" t="s">
        <v>153</v>
      </c>
      <c r="N98">
        <v>2.61</v>
      </c>
      <c r="O98">
        <v>2.9</v>
      </c>
      <c r="P98">
        <v>3.89</v>
      </c>
      <c r="Q98">
        <v>3.46</v>
      </c>
      <c r="R98">
        <v>4.62</v>
      </c>
      <c r="S98">
        <v>5.79</v>
      </c>
      <c r="T98">
        <v>5.0999999999999996</v>
      </c>
      <c r="U98" t="s">
        <v>153</v>
      </c>
      <c r="V98">
        <v>3.9</v>
      </c>
      <c r="W98">
        <v>5.7</v>
      </c>
      <c r="X98">
        <v>4.7</v>
      </c>
      <c r="Y98">
        <v>4.2</v>
      </c>
      <c r="AB98">
        <v>2.2200000000000002</v>
      </c>
      <c r="AC98">
        <v>2</v>
      </c>
      <c r="AD98">
        <f t="shared" si="3"/>
        <v>2</v>
      </c>
    </row>
    <row r="99" spans="4:30" x14ac:dyDescent="0.25">
      <c r="D99">
        <v>12</v>
      </c>
      <c r="F99">
        <v>3.8</v>
      </c>
      <c r="G99">
        <v>3.8</v>
      </c>
      <c r="H99">
        <v>3.73</v>
      </c>
      <c r="I99">
        <v>6.51</v>
      </c>
      <c r="J99">
        <v>4.6500000000000004</v>
      </c>
      <c r="K99">
        <v>5.17</v>
      </c>
      <c r="N99">
        <v>3.06</v>
      </c>
      <c r="O99">
        <v>2.89</v>
      </c>
      <c r="P99">
        <v>4.29</v>
      </c>
      <c r="Q99">
        <v>4.6399999999999997</v>
      </c>
      <c r="R99">
        <v>4.3899999999999997</v>
      </c>
      <c r="S99">
        <v>4.78</v>
      </c>
      <c r="T99">
        <v>9.35</v>
      </c>
      <c r="U99">
        <v>6.17</v>
      </c>
      <c r="V99">
        <v>3.62</v>
      </c>
      <c r="W99">
        <v>4.67</v>
      </c>
      <c r="X99">
        <v>2.67</v>
      </c>
      <c r="Y99">
        <v>3.9</v>
      </c>
      <c r="AB99">
        <v>2.78</v>
      </c>
      <c r="AC99">
        <v>2.34</v>
      </c>
      <c r="AD99">
        <f t="shared" si="3"/>
        <v>2.34</v>
      </c>
    </row>
    <row r="100" spans="4:30" x14ac:dyDescent="0.25">
      <c r="D100">
        <v>13</v>
      </c>
      <c r="F100" t="s">
        <v>151</v>
      </c>
      <c r="G100">
        <v>4.41</v>
      </c>
      <c r="H100" t="s">
        <v>153</v>
      </c>
      <c r="I100" t="s">
        <v>153</v>
      </c>
      <c r="J100">
        <v>8.6</v>
      </c>
      <c r="K100">
        <v>2.6</v>
      </c>
      <c r="N100">
        <v>2.35</v>
      </c>
      <c r="O100">
        <v>2.8</v>
      </c>
      <c r="P100">
        <v>2.61</v>
      </c>
      <c r="Q100">
        <v>5.53</v>
      </c>
      <c r="R100">
        <v>5.4</v>
      </c>
      <c r="S100">
        <v>3.42</v>
      </c>
      <c r="T100">
        <v>2.2999999999999998</v>
      </c>
      <c r="U100">
        <v>2.6</v>
      </c>
      <c r="V100">
        <v>2.8</v>
      </c>
      <c r="W100">
        <v>2.5</v>
      </c>
      <c r="X100">
        <v>2.8</v>
      </c>
      <c r="Y100" t="s">
        <v>153</v>
      </c>
      <c r="AB100">
        <v>2.17</v>
      </c>
      <c r="AC100">
        <v>2.2999999999999998</v>
      </c>
      <c r="AD100">
        <f t="shared" si="3"/>
        <v>2.17</v>
      </c>
    </row>
    <row r="101" spans="4:30" x14ac:dyDescent="0.25">
      <c r="D101">
        <v>14</v>
      </c>
      <c r="F101" t="s">
        <v>155</v>
      </c>
      <c r="G101" t="s">
        <v>155</v>
      </c>
      <c r="H101">
        <v>3.15</v>
      </c>
      <c r="I101">
        <v>7.2</v>
      </c>
      <c r="J101" t="s">
        <v>152</v>
      </c>
      <c r="K101">
        <v>4.8</v>
      </c>
      <c r="N101">
        <v>3.83</v>
      </c>
      <c r="O101" t="s">
        <v>155</v>
      </c>
      <c r="P101">
        <v>7.55</v>
      </c>
      <c r="Q101" t="s">
        <v>151</v>
      </c>
      <c r="R101">
        <v>4.2699999999999996</v>
      </c>
      <c r="S101">
        <v>7.96</v>
      </c>
      <c r="T101" t="s">
        <v>152</v>
      </c>
      <c r="U101">
        <v>3.4</v>
      </c>
      <c r="V101">
        <v>2.9</v>
      </c>
      <c r="W101" t="s">
        <v>152</v>
      </c>
      <c r="X101">
        <v>4.2</v>
      </c>
      <c r="Y101">
        <v>4.4000000000000004</v>
      </c>
      <c r="AB101">
        <v>3.01</v>
      </c>
      <c r="AC101">
        <v>2.2999999999999998</v>
      </c>
      <c r="AD101">
        <f t="shared" si="3"/>
        <v>2.2999999999999998</v>
      </c>
    </row>
    <row r="102" spans="4:30" x14ac:dyDescent="0.25">
      <c r="D102">
        <v>15</v>
      </c>
      <c r="F102" t="s">
        <v>151</v>
      </c>
      <c r="G102" t="s">
        <v>151</v>
      </c>
      <c r="H102" t="s">
        <v>151</v>
      </c>
      <c r="I102">
        <v>5.91</v>
      </c>
      <c r="J102">
        <v>5.83</v>
      </c>
      <c r="K102" t="s">
        <v>155</v>
      </c>
      <c r="N102" t="s">
        <v>152</v>
      </c>
      <c r="O102">
        <v>6.61</v>
      </c>
      <c r="P102" t="s">
        <v>151</v>
      </c>
      <c r="Q102" t="s">
        <v>153</v>
      </c>
      <c r="R102" t="s">
        <v>151</v>
      </c>
      <c r="S102" t="s">
        <v>153</v>
      </c>
      <c r="T102" t="s">
        <v>151</v>
      </c>
      <c r="U102" t="s">
        <v>153</v>
      </c>
      <c r="V102" t="s">
        <v>155</v>
      </c>
      <c r="W102" t="s">
        <v>152</v>
      </c>
      <c r="X102" t="s">
        <v>155</v>
      </c>
      <c r="Y102" t="s">
        <v>151</v>
      </c>
      <c r="AB102">
        <v>6.61</v>
      </c>
      <c r="AC102">
        <v>4.8</v>
      </c>
      <c r="AD102">
        <f t="shared" si="3"/>
        <v>4.8</v>
      </c>
    </row>
    <row r="103" spans="4:30" x14ac:dyDescent="0.25">
      <c r="D103">
        <v>16</v>
      </c>
      <c r="F103">
        <v>4.0999999999999996</v>
      </c>
      <c r="G103">
        <v>4.01</v>
      </c>
      <c r="H103">
        <v>6.86</v>
      </c>
      <c r="I103" t="s">
        <v>151</v>
      </c>
      <c r="J103" t="s">
        <v>151</v>
      </c>
      <c r="K103" t="s">
        <v>153</v>
      </c>
      <c r="N103">
        <v>5.14</v>
      </c>
      <c r="O103">
        <v>4.8600000000000003</v>
      </c>
      <c r="P103">
        <v>3.97</v>
      </c>
      <c r="Q103">
        <v>5.41</v>
      </c>
      <c r="R103" t="s">
        <v>153</v>
      </c>
      <c r="S103">
        <v>4.6100000000000003</v>
      </c>
      <c r="T103" t="s">
        <v>153</v>
      </c>
      <c r="U103" t="s">
        <v>153</v>
      </c>
      <c r="V103" t="s">
        <v>152</v>
      </c>
      <c r="W103">
        <v>7.5</v>
      </c>
      <c r="X103" t="s">
        <v>153</v>
      </c>
      <c r="Y103">
        <v>8.1</v>
      </c>
      <c r="AB103">
        <v>4.01</v>
      </c>
      <c r="AC103">
        <v>2.9</v>
      </c>
      <c r="AD103">
        <f t="shared" si="3"/>
        <v>2.9</v>
      </c>
    </row>
    <row r="104" spans="4:30" x14ac:dyDescent="0.25">
      <c r="D104">
        <v>17</v>
      </c>
      <c r="F104">
        <v>2.9</v>
      </c>
      <c r="G104" t="s">
        <v>152</v>
      </c>
      <c r="H104">
        <v>3.74</v>
      </c>
      <c r="I104">
        <v>3.19</v>
      </c>
      <c r="J104">
        <v>3.09</v>
      </c>
      <c r="K104">
        <v>2.42</v>
      </c>
      <c r="N104">
        <v>2.93</v>
      </c>
      <c r="O104">
        <v>4.78</v>
      </c>
      <c r="P104">
        <v>3.58</v>
      </c>
      <c r="Q104">
        <v>4.1500000000000004</v>
      </c>
      <c r="R104">
        <v>7.39</v>
      </c>
      <c r="S104">
        <v>4.01</v>
      </c>
      <c r="T104">
        <v>3.14</v>
      </c>
      <c r="U104">
        <v>4.43</v>
      </c>
      <c r="V104">
        <v>8.58</v>
      </c>
      <c r="W104">
        <v>3.9</v>
      </c>
      <c r="X104">
        <v>4.9000000000000004</v>
      </c>
      <c r="Y104">
        <v>4.41</v>
      </c>
      <c r="AB104">
        <v>2.5499999999999998</v>
      </c>
      <c r="AC104">
        <v>2.42</v>
      </c>
      <c r="AD104">
        <f t="shared" si="3"/>
        <v>2.42</v>
      </c>
    </row>
    <row r="105" spans="4:30" x14ac:dyDescent="0.25">
      <c r="D105">
        <v>18</v>
      </c>
      <c r="F105" t="s">
        <v>155</v>
      </c>
      <c r="G105" t="s">
        <v>151</v>
      </c>
      <c r="H105" t="s">
        <v>151</v>
      </c>
      <c r="I105" t="s">
        <v>151</v>
      </c>
      <c r="N105" t="s">
        <v>153</v>
      </c>
      <c r="O105" t="s">
        <v>153</v>
      </c>
      <c r="P105" t="s">
        <v>151</v>
      </c>
      <c r="Q105" t="s">
        <v>151</v>
      </c>
      <c r="R105" t="s">
        <v>151</v>
      </c>
      <c r="S105" t="s">
        <v>151</v>
      </c>
    </row>
    <row r="106" spans="4:30" x14ac:dyDescent="0.25">
      <c r="D106">
        <v>19</v>
      </c>
      <c r="F106">
        <v>2.0299999999999998</v>
      </c>
      <c r="G106">
        <v>3.77</v>
      </c>
      <c r="H106">
        <v>5.85</v>
      </c>
      <c r="I106">
        <v>4.9000000000000004</v>
      </c>
      <c r="J106">
        <v>3.5</v>
      </c>
      <c r="K106">
        <v>3.9</v>
      </c>
      <c r="N106">
        <v>2.67</v>
      </c>
      <c r="O106">
        <v>2.4700000000000002</v>
      </c>
      <c r="P106">
        <v>2.79</v>
      </c>
      <c r="Q106">
        <v>2.46</v>
      </c>
      <c r="R106">
        <v>3.74</v>
      </c>
      <c r="S106">
        <v>2.27</v>
      </c>
      <c r="T106">
        <v>2.7</v>
      </c>
      <c r="U106">
        <v>2.4</v>
      </c>
      <c r="V106">
        <v>5.0999999999999996</v>
      </c>
      <c r="W106">
        <v>3.5</v>
      </c>
      <c r="X106">
        <v>3.5</v>
      </c>
      <c r="Y106">
        <v>3.4</v>
      </c>
      <c r="AB106">
        <v>1.67</v>
      </c>
      <c r="AC106">
        <v>2</v>
      </c>
      <c r="AD106">
        <f t="shared" si="3"/>
        <v>1.67</v>
      </c>
    </row>
    <row r="107" spans="4:30" x14ac:dyDescent="0.25">
      <c r="D107">
        <v>20</v>
      </c>
      <c r="F107">
        <v>8.0299999999999994</v>
      </c>
      <c r="G107">
        <v>5.4</v>
      </c>
      <c r="H107">
        <v>5.4</v>
      </c>
      <c r="I107">
        <v>3.73</v>
      </c>
      <c r="J107">
        <v>4.3600000000000003</v>
      </c>
      <c r="K107">
        <v>3.99</v>
      </c>
      <c r="N107" t="s">
        <v>151</v>
      </c>
      <c r="O107" t="s">
        <v>151</v>
      </c>
      <c r="P107" t="s">
        <v>151</v>
      </c>
      <c r="Q107" t="s">
        <v>155</v>
      </c>
      <c r="R107" t="s">
        <v>151</v>
      </c>
      <c r="S107" t="s">
        <v>151</v>
      </c>
      <c r="T107" t="s">
        <v>153</v>
      </c>
      <c r="U107" t="s">
        <v>155</v>
      </c>
      <c r="V107" t="s">
        <v>152</v>
      </c>
      <c r="W107">
        <v>6.96</v>
      </c>
      <c r="X107" t="s">
        <v>151</v>
      </c>
      <c r="Y107" t="s">
        <v>152</v>
      </c>
      <c r="AB107">
        <v>5.4</v>
      </c>
      <c r="AC107">
        <v>3.46</v>
      </c>
      <c r="AD107">
        <f t="shared" si="3"/>
        <v>3.46</v>
      </c>
    </row>
    <row r="108" spans="4:30" x14ac:dyDescent="0.25">
      <c r="D108">
        <v>21</v>
      </c>
      <c r="F108">
        <v>3.27</v>
      </c>
      <c r="G108">
        <v>3.61</v>
      </c>
      <c r="H108">
        <v>2.5299999999999998</v>
      </c>
      <c r="I108">
        <v>3.9</v>
      </c>
      <c r="J108">
        <v>3.8</v>
      </c>
      <c r="K108">
        <v>2.6</v>
      </c>
      <c r="N108">
        <v>2.0699999999999998</v>
      </c>
      <c r="O108">
        <v>2.21</v>
      </c>
      <c r="P108">
        <v>4.1500000000000004</v>
      </c>
      <c r="Q108">
        <v>4.22</v>
      </c>
      <c r="R108">
        <v>2.1</v>
      </c>
      <c r="S108">
        <v>4.45</v>
      </c>
      <c r="T108">
        <v>2.1</v>
      </c>
      <c r="U108">
        <v>2.6</v>
      </c>
      <c r="V108">
        <v>4.5</v>
      </c>
      <c r="W108">
        <v>2.2000000000000002</v>
      </c>
      <c r="X108">
        <v>3.7</v>
      </c>
      <c r="Y108" t="s">
        <v>151</v>
      </c>
      <c r="AB108">
        <v>1.93</v>
      </c>
      <c r="AC108">
        <v>2</v>
      </c>
      <c r="AD108">
        <f t="shared" si="3"/>
        <v>1.93</v>
      </c>
    </row>
    <row r="109" spans="4:30" x14ac:dyDescent="0.25">
      <c r="D109">
        <v>22</v>
      </c>
      <c r="F109">
        <v>3.91</v>
      </c>
      <c r="G109">
        <v>2.61</v>
      </c>
      <c r="H109">
        <v>2.48</v>
      </c>
      <c r="I109" t="s">
        <v>152</v>
      </c>
      <c r="J109">
        <v>2.2999999999999998</v>
      </c>
      <c r="K109">
        <v>3.35</v>
      </c>
      <c r="N109">
        <v>2.35</v>
      </c>
      <c r="O109">
        <v>3.09</v>
      </c>
      <c r="P109">
        <v>3.1</v>
      </c>
      <c r="Q109">
        <v>3.61</v>
      </c>
      <c r="R109">
        <v>3.61</v>
      </c>
      <c r="S109">
        <v>3.36</v>
      </c>
      <c r="T109">
        <v>2.67</v>
      </c>
      <c r="U109">
        <v>3.47</v>
      </c>
      <c r="V109">
        <v>2.79</v>
      </c>
      <c r="W109">
        <v>2.67</v>
      </c>
      <c r="X109">
        <v>2.97</v>
      </c>
      <c r="Y109">
        <v>2.85</v>
      </c>
      <c r="AB109">
        <v>1.93</v>
      </c>
      <c r="AC109">
        <v>1.89</v>
      </c>
      <c r="AD109">
        <f t="shared" si="3"/>
        <v>1.89</v>
      </c>
    </row>
    <row r="110" spans="4:30" x14ac:dyDescent="0.25">
      <c r="D110">
        <v>23</v>
      </c>
      <c r="F110" t="s">
        <v>151</v>
      </c>
      <c r="G110" t="s">
        <v>151</v>
      </c>
      <c r="H110" t="s">
        <v>151</v>
      </c>
      <c r="I110">
        <v>2.8</v>
      </c>
      <c r="J110">
        <v>6.84</v>
      </c>
      <c r="K110">
        <v>4.2699999999999996</v>
      </c>
      <c r="N110" t="s">
        <v>152</v>
      </c>
      <c r="O110" t="s">
        <v>152</v>
      </c>
      <c r="P110" t="s">
        <v>152</v>
      </c>
      <c r="Q110">
        <v>4.8499999999999996</v>
      </c>
      <c r="R110">
        <v>3.33</v>
      </c>
      <c r="S110">
        <v>6.42</v>
      </c>
      <c r="T110">
        <v>2.97</v>
      </c>
      <c r="U110">
        <v>7.75</v>
      </c>
      <c r="V110">
        <v>3.53</v>
      </c>
      <c r="W110">
        <v>3.67</v>
      </c>
      <c r="X110" t="s">
        <v>153</v>
      </c>
      <c r="Y110">
        <v>3.6</v>
      </c>
      <c r="AB110">
        <v>2.35</v>
      </c>
      <c r="AC110">
        <v>2.41</v>
      </c>
      <c r="AD110">
        <f t="shared" si="3"/>
        <v>2.35</v>
      </c>
    </row>
    <row r="111" spans="4:30" x14ac:dyDescent="0.25">
      <c r="D111">
        <v>24</v>
      </c>
      <c r="F111">
        <v>3.36</v>
      </c>
      <c r="G111" t="s">
        <v>153</v>
      </c>
      <c r="H111" t="s">
        <v>151</v>
      </c>
      <c r="I111" t="s">
        <v>152</v>
      </c>
      <c r="J111">
        <v>4.0999999999999996</v>
      </c>
      <c r="K111" t="s">
        <v>152</v>
      </c>
      <c r="N111">
        <v>2.9</v>
      </c>
      <c r="O111">
        <v>4.92</v>
      </c>
      <c r="P111">
        <v>6.92</v>
      </c>
      <c r="Q111">
        <v>2.52</v>
      </c>
      <c r="R111">
        <v>2.73</v>
      </c>
      <c r="S111">
        <v>6.4</v>
      </c>
      <c r="T111">
        <v>9.27</v>
      </c>
      <c r="U111">
        <v>4.66</v>
      </c>
      <c r="V111">
        <v>3.51</v>
      </c>
      <c r="W111">
        <v>4.29</v>
      </c>
      <c r="X111">
        <v>3.19</v>
      </c>
      <c r="Y111" t="s">
        <v>151</v>
      </c>
      <c r="AB111">
        <v>2.09</v>
      </c>
      <c r="AC111">
        <v>2.0299999999999998</v>
      </c>
      <c r="AD111">
        <f t="shared" si="3"/>
        <v>2.0299999999999998</v>
      </c>
    </row>
    <row r="112" spans="4:30" x14ac:dyDescent="0.25">
      <c r="D112">
        <v>25</v>
      </c>
      <c r="F112">
        <v>2.96</v>
      </c>
      <c r="G112">
        <v>2.29</v>
      </c>
      <c r="H112">
        <v>2.67</v>
      </c>
      <c r="I112">
        <v>5.47</v>
      </c>
      <c r="J112">
        <v>3.35</v>
      </c>
      <c r="K112">
        <v>2.17</v>
      </c>
      <c r="N112">
        <v>3.91</v>
      </c>
      <c r="O112">
        <v>2.42</v>
      </c>
      <c r="P112">
        <v>2.89</v>
      </c>
      <c r="Q112">
        <v>4.33</v>
      </c>
      <c r="R112">
        <v>2.99</v>
      </c>
      <c r="S112">
        <v>2.2200000000000002</v>
      </c>
      <c r="T112">
        <v>2.89</v>
      </c>
      <c r="U112">
        <v>5.8</v>
      </c>
      <c r="V112">
        <v>3.73</v>
      </c>
      <c r="W112">
        <v>2.79</v>
      </c>
      <c r="X112">
        <v>5.03</v>
      </c>
      <c r="Y112">
        <v>2.5099999999999998</v>
      </c>
      <c r="AB112">
        <v>1.79</v>
      </c>
      <c r="AC112">
        <v>2.09</v>
      </c>
      <c r="AD112">
        <f t="shared" si="3"/>
        <v>1.79</v>
      </c>
    </row>
    <row r="113" spans="4:30" x14ac:dyDescent="0.25">
      <c r="D113">
        <v>26</v>
      </c>
      <c r="F113" t="s">
        <v>153</v>
      </c>
      <c r="G113" t="s">
        <v>153</v>
      </c>
      <c r="H113" t="s">
        <v>152</v>
      </c>
      <c r="I113">
        <v>9.9</v>
      </c>
      <c r="J113" t="s">
        <v>151</v>
      </c>
      <c r="K113">
        <v>9.9499999999999993</v>
      </c>
      <c r="N113" t="s">
        <v>151</v>
      </c>
      <c r="O113" t="s">
        <v>151</v>
      </c>
      <c r="P113">
        <v>4.8</v>
      </c>
      <c r="Q113">
        <v>4.0999999999999996</v>
      </c>
      <c r="R113">
        <v>6.42</v>
      </c>
      <c r="S113">
        <v>4.24</v>
      </c>
      <c r="T113">
        <v>4.59</v>
      </c>
      <c r="U113" t="s">
        <v>152</v>
      </c>
      <c r="V113" t="s">
        <v>151</v>
      </c>
      <c r="W113">
        <v>4.59</v>
      </c>
      <c r="X113">
        <v>3.83</v>
      </c>
      <c r="Y113">
        <v>4.83</v>
      </c>
      <c r="AB113">
        <v>2.58</v>
      </c>
      <c r="AC113">
        <v>2.36</v>
      </c>
      <c r="AD113">
        <f t="shared" si="3"/>
        <v>2.36</v>
      </c>
    </row>
    <row r="114" spans="4:30" x14ac:dyDescent="0.25">
      <c r="D114">
        <v>27</v>
      </c>
      <c r="F114">
        <v>5.92</v>
      </c>
      <c r="G114">
        <v>2.4700000000000002</v>
      </c>
      <c r="H114">
        <v>3.16</v>
      </c>
      <c r="I114">
        <v>2.35</v>
      </c>
      <c r="J114">
        <v>2.23</v>
      </c>
      <c r="K114">
        <v>2.14</v>
      </c>
      <c r="N114">
        <v>2.0099999999999998</v>
      </c>
      <c r="O114">
        <v>2.59</v>
      </c>
      <c r="P114">
        <v>4.3099999999999996</v>
      </c>
      <c r="Q114">
        <v>2.77</v>
      </c>
      <c r="R114">
        <v>2.83</v>
      </c>
      <c r="S114">
        <v>2.67</v>
      </c>
      <c r="T114">
        <v>2.35</v>
      </c>
      <c r="U114">
        <v>1.95</v>
      </c>
      <c r="V114">
        <v>2.4700000000000002</v>
      </c>
      <c r="W114">
        <v>1.98</v>
      </c>
      <c r="X114">
        <v>2.35</v>
      </c>
      <c r="Y114">
        <v>2.15</v>
      </c>
      <c r="AB114">
        <v>2.0099999999999998</v>
      </c>
      <c r="AC114">
        <v>1.95</v>
      </c>
      <c r="AD114">
        <f t="shared" si="3"/>
        <v>1.95</v>
      </c>
    </row>
    <row r="115" spans="4:30" x14ac:dyDescent="0.25">
      <c r="D115">
        <v>28</v>
      </c>
      <c r="F115">
        <v>5.27</v>
      </c>
      <c r="G115">
        <v>3.46</v>
      </c>
      <c r="H115">
        <v>3.59</v>
      </c>
      <c r="I115">
        <v>3.03</v>
      </c>
      <c r="J115">
        <v>5.01</v>
      </c>
      <c r="K115" t="s">
        <v>153</v>
      </c>
      <c r="N115">
        <v>4.9800000000000004</v>
      </c>
      <c r="O115">
        <v>4.1900000000000004</v>
      </c>
      <c r="P115">
        <v>5.58</v>
      </c>
      <c r="Q115">
        <v>8.51</v>
      </c>
      <c r="R115">
        <v>4.7699999999999996</v>
      </c>
      <c r="S115">
        <v>6.03</v>
      </c>
      <c r="T115">
        <v>4.55</v>
      </c>
      <c r="U115">
        <v>3.86</v>
      </c>
      <c r="V115">
        <v>8.86</v>
      </c>
      <c r="W115">
        <v>4.8499999999999996</v>
      </c>
      <c r="X115">
        <v>4.8600000000000003</v>
      </c>
      <c r="Y115">
        <v>5.5</v>
      </c>
      <c r="AB115">
        <v>2.9</v>
      </c>
      <c r="AC115">
        <v>2.5499999999999998</v>
      </c>
      <c r="AD115">
        <f t="shared" si="3"/>
        <v>2.5499999999999998</v>
      </c>
    </row>
    <row r="116" spans="4:30" x14ac:dyDescent="0.25">
      <c r="D116">
        <v>29</v>
      </c>
      <c r="F116" t="s">
        <v>155</v>
      </c>
      <c r="G116" t="s">
        <v>155</v>
      </c>
      <c r="H116" t="s">
        <v>155</v>
      </c>
      <c r="I116" t="s">
        <v>152</v>
      </c>
      <c r="J116" t="s">
        <v>153</v>
      </c>
      <c r="K116" t="s">
        <v>153</v>
      </c>
      <c r="N116" t="s">
        <v>152</v>
      </c>
      <c r="O116" t="s">
        <v>153</v>
      </c>
      <c r="P116" t="s">
        <v>151</v>
      </c>
      <c r="Q116" t="s">
        <v>151</v>
      </c>
      <c r="R116" t="s">
        <v>151</v>
      </c>
      <c r="S116">
        <v>6.41</v>
      </c>
      <c r="T116" t="s">
        <v>152</v>
      </c>
      <c r="U116" t="s">
        <v>152</v>
      </c>
      <c r="V116">
        <v>5.65</v>
      </c>
      <c r="W116">
        <v>6.03</v>
      </c>
      <c r="X116">
        <v>6.8</v>
      </c>
      <c r="Y116">
        <v>3.9</v>
      </c>
      <c r="AB116">
        <v>4.21</v>
      </c>
      <c r="AC116">
        <v>2.96</v>
      </c>
      <c r="AD116">
        <f t="shared" si="3"/>
        <v>2.96</v>
      </c>
    </row>
    <row r="117" spans="4:30" x14ac:dyDescent="0.25">
      <c r="D117">
        <v>30</v>
      </c>
      <c r="F117" t="s">
        <v>155</v>
      </c>
      <c r="G117" t="s">
        <v>155</v>
      </c>
      <c r="H117" t="s">
        <v>160</v>
      </c>
      <c r="I117" t="s">
        <v>152</v>
      </c>
      <c r="J117">
        <v>4.83</v>
      </c>
      <c r="K117">
        <v>6.47</v>
      </c>
      <c r="N117" t="s">
        <v>155</v>
      </c>
      <c r="O117" t="s">
        <v>151</v>
      </c>
      <c r="P117" t="s">
        <v>153</v>
      </c>
      <c r="Q117">
        <v>6.3</v>
      </c>
      <c r="R117" t="s">
        <v>152</v>
      </c>
      <c r="S117" t="s">
        <v>152</v>
      </c>
      <c r="T117">
        <v>3.21</v>
      </c>
      <c r="U117">
        <v>5.51</v>
      </c>
      <c r="V117" t="s">
        <v>153</v>
      </c>
      <c r="W117">
        <v>8.59</v>
      </c>
      <c r="X117">
        <v>7.03</v>
      </c>
      <c r="Y117" t="s">
        <v>152</v>
      </c>
      <c r="AB117">
        <v>3.2</v>
      </c>
      <c r="AC117">
        <v>2.79</v>
      </c>
      <c r="AD117">
        <f t="shared" si="3"/>
        <v>2.79</v>
      </c>
    </row>
    <row r="118" spans="4:30" x14ac:dyDescent="0.25">
      <c r="D118">
        <v>31</v>
      </c>
      <c r="F118">
        <v>4.2</v>
      </c>
      <c r="G118">
        <v>3.3</v>
      </c>
      <c r="H118">
        <v>4.5</v>
      </c>
      <c r="I118">
        <v>3.84</v>
      </c>
      <c r="J118">
        <v>5.23</v>
      </c>
      <c r="K118">
        <v>3.11</v>
      </c>
      <c r="N118" t="s">
        <v>153</v>
      </c>
      <c r="O118">
        <v>3.5</v>
      </c>
      <c r="P118" t="s">
        <v>153</v>
      </c>
      <c r="Q118">
        <v>2.7</v>
      </c>
      <c r="R118">
        <v>3.1</v>
      </c>
      <c r="S118">
        <v>4.4000000000000004</v>
      </c>
      <c r="T118">
        <v>3.51</v>
      </c>
      <c r="U118">
        <v>3.64</v>
      </c>
      <c r="V118">
        <v>3.29</v>
      </c>
      <c r="W118">
        <v>3.87</v>
      </c>
      <c r="X118">
        <v>4.78</v>
      </c>
      <c r="Y118">
        <v>9.16</v>
      </c>
      <c r="AB118">
        <v>2.2000000000000002</v>
      </c>
      <c r="AC118">
        <v>2.23</v>
      </c>
      <c r="AD118">
        <f t="shared" si="3"/>
        <v>2.2000000000000002</v>
      </c>
    </row>
    <row r="119" spans="4:30" x14ac:dyDescent="0.25">
      <c r="D119">
        <v>32</v>
      </c>
      <c r="F119" t="s">
        <v>153</v>
      </c>
      <c r="G119" t="s">
        <v>152</v>
      </c>
      <c r="H119" t="s">
        <v>151</v>
      </c>
      <c r="I119" t="s">
        <v>198</v>
      </c>
    </row>
    <row r="120" spans="4:30" x14ac:dyDescent="0.25">
      <c r="D120">
        <v>33</v>
      </c>
      <c r="F120">
        <v>6.47</v>
      </c>
      <c r="G120">
        <v>6.98</v>
      </c>
      <c r="H120">
        <v>3.8</v>
      </c>
      <c r="I120">
        <v>3.9</v>
      </c>
      <c r="J120">
        <v>2.2999999999999998</v>
      </c>
      <c r="K120">
        <v>2.72</v>
      </c>
      <c r="N120">
        <v>4.72</v>
      </c>
      <c r="O120">
        <v>4.66</v>
      </c>
      <c r="P120">
        <v>5.47</v>
      </c>
      <c r="Q120">
        <v>4.9000000000000004</v>
      </c>
      <c r="R120">
        <v>7.67</v>
      </c>
      <c r="S120">
        <v>4.2699999999999996</v>
      </c>
      <c r="T120">
        <v>3.4</v>
      </c>
      <c r="U120">
        <v>5.91</v>
      </c>
      <c r="V120">
        <v>3.46</v>
      </c>
      <c r="W120">
        <v>5.98</v>
      </c>
      <c r="X120">
        <v>3.19</v>
      </c>
      <c r="Y120">
        <v>4.49</v>
      </c>
      <c r="AB120">
        <v>1.9</v>
      </c>
      <c r="AC120">
        <v>2.1</v>
      </c>
      <c r="AD120">
        <f t="shared" si="3"/>
        <v>1.9</v>
      </c>
    </row>
    <row r="121" spans="4:30" x14ac:dyDescent="0.25">
      <c r="D121">
        <v>34</v>
      </c>
      <c r="F121">
        <v>3.95</v>
      </c>
      <c r="G121">
        <v>3.47</v>
      </c>
      <c r="H121">
        <v>3.01</v>
      </c>
      <c r="I121">
        <v>2.42</v>
      </c>
      <c r="J121">
        <v>2.91</v>
      </c>
      <c r="K121">
        <v>2.73</v>
      </c>
      <c r="N121">
        <v>4.6100000000000003</v>
      </c>
      <c r="O121">
        <v>2.8</v>
      </c>
      <c r="P121">
        <v>4.09</v>
      </c>
      <c r="Q121">
        <v>2.91</v>
      </c>
      <c r="R121">
        <v>4.17</v>
      </c>
      <c r="S121">
        <v>3.58</v>
      </c>
      <c r="T121">
        <v>3.45</v>
      </c>
      <c r="U121">
        <v>2.17</v>
      </c>
      <c r="V121">
        <v>2.67</v>
      </c>
      <c r="W121">
        <v>3.03</v>
      </c>
      <c r="X121">
        <v>3.3</v>
      </c>
      <c r="Y121">
        <v>3.45</v>
      </c>
      <c r="AB121">
        <v>2.21</v>
      </c>
      <c r="AC121">
        <v>2.17</v>
      </c>
      <c r="AD121">
        <f t="shared" si="3"/>
        <v>2.17</v>
      </c>
    </row>
    <row r="122" spans="4:30" x14ac:dyDescent="0.25">
      <c r="D122">
        <v>35</v>
      </c>
      <c r="F122">
        <v>3.4</v>
      </c>
      <c r="G122">
        <v>3.6</v>
      </c>
      <c r="H122">
        <v>3.3</v>
      </c>
      <c r="I122">
        <v>3.79</v>
      </c>
      <c r="J122">
        <v>3.01</v>
      </c>
      <c r="K122">
        <v>2.97</v>
      </c>
      <c r="N122">
        <v>8</v>
      </c>
      <c r="O122" t="s">
        <v>152</v>
      </c>
      <c r="P122">
        <v>3.6</v>
      </c>
      <c r="Q122" t="s">
        <v>153</v>
      </c>
      <c r="R122" t="s">
        <v>153</v>
      </c>
      <c r="S122">
        <v>5.7</v>
      </c>
      <c r="T122">
        <v>4.9000000000000004</v>
      </c>
      <c r="U122">
        <v>4.2300000000000004</v>
      </c>
      <c r="V122" t="s">
        <v>153</v>
      </c>
      <c r="W122">
        <v>4.91</v>
      </c>
      <c r="X122">
        <v>4.2699999999999996</v>
      </c>
      <c r="Y122">
        <v>4.22</v>
      </c>
      <c r="AB122">
        <v>2.5</v>
      </c>
      <c r="AC122">
        <v>2.92</v>
      </c>
      <c r="AD122">
        <f t="shared" si="3"/>
        <v>2.5</v>
      </c>
    </row>
    <row r="123" spans="4:30" x14ac:dyDescent="0.25">
      <c r="D123">
        <v>36</v>
      </c>
      <c r="F123" t="s">
        <v>153</v>
      </c>
      <c r="G123" t="s">
        <v>151</v>
      </c>
      <c r="H123">
        <v>5.0599999999999996</v>
      </c>
      <c r="I123" t="s">
        <v>153</v>
      </c>
      <c r="J123">
        <v>2.73</v>
      </c>
      <c r="K123">
        <v>4.4000000000000004</v>
      </c>
      <c r="N123">
        <v>3.53</v>
      </c>
      <c r="O123">
        <v>5.79</v>
      </c>
      <c r="P123">
        <v>5.65</v>
      </c>
      <c r="Q123">
        <v>4.72</v>
      </c>
      <c r="R123">
        <v>5.09</v>
      </c>
      <c r="S123">
        <v>2.62</v>
      </c>
      <c r="T123">
        <v>2.35</v>
      </c>
      <c r="U123">
        <v>3.85</v>
      </c>
      <c r="V123">
        <v>3.46</v>
      </c>
      <c r="W123">
        <v>2.54</v>
      </c>
      <c r="X123">
        <v>3.46</v>
      </c>
      <c r="Y123">
        <v>2.64</v>
      </c>
      <c r="AB123">
        <v>2.1</v>
      </c>
      <c r="AC123">
        <v>2.04</v>
      </c>
      <c r="AD123">
        <f t="shared" si="3"/>
        <v>2.04</v>
      </c>
    </row>
    <row r="125" spans="4:30" x14ac:dyDescent="0.25">
      <c r="D125" s="10" t="s">
        <v>162</v>
      </c>
      <c r="E125" s="10"/>
      <c r="F125" t="s">
        <v>199</v>
      </c>
      <c r="G125" t="s">
        <v>199</v>
      </c>
      <c r="H125" t="s">
        <v>200</v>
      </c>
      <c r="I125" t="s">
        <v>201</v>
      </c>
      <c r="J125" t="s">
        <v>202</v>
      </c>
      <c r="K125" t="s">
        <v>203</v>
      </c>
      <c r="N125" t="s">
        <v>204</v>
      </c>
      <c r="O125" t="s">
        <v>205</v>
      </c>
      <c r="P125" t="s">
        <v>206</v>
      </c>
      <c r="Q125" t="s">
        <v>207</v>
      </c>
      <c r="R125" t="s">
        <v>208</v>
      </c>
      <c r="S125" t="s">
        <v>209</v>
      </c>
      <c r="T125" t="s">
        <v>203</v>
      </c>
      <c r="U125" t="s">
        <v>210</v>
      </c>
      <c r="V125" t="s">
        <v>210</v>
      </c>
      <c r="W125" t="s">
        <v>211</v>
      </c>
      <c r="X125" t="s">
        <v>210</v>
      </c>
      <c r="Y125" t="s">
        <v>205</v>
      </c>
    </row>
    <row r="126" spans="4:30" x14ac:dyDescent="0.25">
      <c r="D126" s="10" t="s">
        <v>179</v>
      </c>
      <c r="E126" s="10"/>
      <c r="F126">
        <f>2400/36</f>
        <v>66.666666666666671</v>
      </c>
      <c r="G126">
        <f>2400/36</f>
        <v>66.666666666666671</v>
      </c>
      <c r="H126">
        <f>2500/36</f>
        <v>69.444444444444443</v>
      </c>
      <c r="I126">
        <f>2500/35</f>
        <v>71.428571428571431</v>
      </c>
      <c r="J126">
        <f>2900/34</f>
        <v>85.294117647058826</v>
      </c>
      <c r="K126">
        <f>2700/34</f>
        <v>79.411764705882348</v>
      </c>
      <c r="N126">
        <f>2600/35</f>
        <v>74.285714285714292</v>
      </c>
      <c r="O126">
        <f>2400/34</f>
        <v>70.588235294117652</v>
      </c>
      <c r="P126">
        <f>2700/35</f>
        <v>77.142857142857139</v>
      </c>
      <c r="Q126">
        <f>2800/35</f>
        <v>80</v>
      </c>
      <c r="R126">
        <f>2500/34</f>
        <v>73.529411764705884</v>
      </c>
      <c r="S126">
        <f>3000/35</f>
        <v>85.714285714285708</v>
      </c>
      <c r="T126">
        <f>2700/34</f>
        <v>79.411764705882348</v>
      </c>
      <c r="U126">
        <f>2600/34</f>
        <v>76.470588235294116</v>
      </c>
      <c r="V126">
        <f>2600/34</f>
        <v>76.470588235294116</v>
      </c>
      <c r="W126">
        <f>3100/34</f>
        <v>91.17647058823529</v>
      </c>
      <c r="X126">
        <f>2600/34</f>
        <v>76.470588235294116</v>
      </c>
      <c r="Y126">
        <f>2400/34</f>
        <v>70.588235294117652</v>
      </c>
    </row>
    <row r="130" spans="3:30" ht="28.5" x14ac:dyDescent="0.45">
      <c r="C130" s="9" t="s">
        <v>212</v>
      </c>
    </row>
    <row r="132" spans="3:30" ht="18.75" x14ac:dyDescent="0.3">
      <c r="F132" s="31" t="s">
        <v>135</v>
      </c>
      <c r="G132" s="31"/>
      <c r="H132" s="31"/>
      <c r="I132" s="31" t="s">
        <v>136</v>
      </c>
      <c r="J132" s="31"/>
      <c r="K132" s="31"/>
      <c r="N132" s="31" t="s">
        <v>135</v>
      </c>
      <c r="O132" s="31"/>
      <c r="P132" s="31"/>
      <c r="Q132" s="31"/>
      <c r="R132" s="31"/>
      <c r="S132" s="31"/>
      <c r="T132" s="31" t="s">
        <v>136</v>
      </c>
      <c r="U132" s="31"/>
      <c r="V132" s="31"/>
      <c r="W132" s="31"/>
      <c r="X132" s="31"/>
      <c r="Y132" s="31"/>
      <c r="AB132" s="14" t="s">
        <v>135</v>
      </c>
      <c r="AC132" s="14" t="s">
        <v>136</v>
      </c>
    </row>
    <row r="134" spans="3:30" ht="18.75" x14ac:dyDescent="0.3">
      <c r="D134" s="19" t="s">
        <v>137</v>
      </c>
      <c r="E134" s="19"/>
      <c r="F134" s="15" t="s">
        <v>138</v>
      </c>
      <c r="G134" s="15" t="s">
        <v>139</v>
      </c>
      <c r="H134" s="15" t="s">
        <v>140</v>
      </c>
      <c r="I134" s="15" t="s">
        <v>138</v>
      </c>
      <c r="J134" s="15" t="s">
        <v>139</v>
      </c>
      <c r="K134" s="15" t="s">
        <v>140</v>
      </c>
      <c r="L134" s="15" t="s">
        <v>141</v>
      </c>
      <c r="N134" s="15" t="s">
        <v>142</v>
      </c>
      <c r="O134" s="15" t="s">
        <v>143</v>
      </c>
      <c r="P134" s="15" t="s">
        <v>144</v>
      </c>
      <c r="Q134" s="15" t="s">
        <v>145</v>
      </c>
      <c r="R134" s="15" t="s">
        <v>146</v>
      </c>
      <c r="S134" s="15" t="s">
        <v>147</v>
      </c>
      <c r="T134" s="15" t="s">
        <v>142</v>
      </c>
      <c r="U134" s="15" t="s">
        <v>143</v>
      </c>
      <c r="V134" s="15" t="s">
        <v>144</v>
      </c>
      <c r="W134" s="15" t="s">
        <v>145</v>
      </c>
      <c r="X134" s="15" t="s">
        <v>146</v>
      </c>
      <c r="Y134" s="15" t="s">
        <v>147</v>
      </c>
      <c r="Z134" s="15" t="s">
        <v>148</v>
      </c>
      <c r="AB134" s="15" t="s">
        <v>149</v>
      </c>
      <c r="AC134" s="15" t="s">
        <v>149</v>
      </c>
      <c r="AD134" s="16" t="s">
        <v>150</v>
      </c>
    </row>
    <row r="135" spans="3:30" x14ac:dyDescent="0.25">
      <c r="D135">
        <v>1</v>
      </c>
      <c r="F135">
        <v>7.7</v>
      </c>
      <c r="G135">
        <v>9.6999999999999993</v>
      </c>
      <c r="H135" t="s">
        <v>152</v>
      </c>
      <c r="I135" t="s">
        <v>152</v>
      </c>
      <c r="J135">
        <v>8.1</v>
      </c>
      <c r="K135" t="s">
        <v>152</v>
      </c>
      <c r="L135">
        <f>MIN(F135:K135)</f>
        <v>7.7</v>
      </c>
      <c r="N135" t="s">
        <v>152</v>
      </c>
      <c r="O135">
        <v>4.8</v>
      </c>
      <c r="P135">
        <v>4.8</v>
      </c>
      <c r="Q135" t="s">
        <v>153</v>
      </c>
      <c r="R135" t="s">
        <v>151</v>
      </c>
      <c r="S135" t="s">
        <v>151</v>
      </c>
      <c r="T135">
        <v>5.9</v>
      </c>
      <c r="U135">
        <v>6.7</v>
      </c>
      <c r="V135">
        <v>6.3</v>
      </c>
      <c r="W135" t="s">
        <v>152</v>
      </c>
      <c r="X135" t="s">
        <v>152</v>
      </c>
      <c r="Y135" t="s">
        <v>153</v>
      </c>
      <c r="Z135">
        <f>MIN(O135:Y135)</f>
        <v>4.8</v>
      </c>
      <c r="AB135">
        <v>4.5999999999999996</v>
      </c>
      <c r="AC135">
        <v>5</v>
      </c>
      <c r="AD135">
        <f>MIN(AB135:AC135)</f>
        <v>4.5999999999999996</v>
      </c>
    </row>
    <row r="136" spans="3:30" x14ac:dyDescent="0.25">
      <c r="D136">
        <v>2</v>
      </c>
      <c r="F136">
        <v>4.0999999999999996</v>
      </c>
      <c r="G136">
        <v>5.3</v>
      </c>
      <c r="H136">
        <v>3.9</v>
      </c>
      <c r="I136">
        <v>5.0999999999999996</v>
      </c>
      <c r="J136" t="s">
        <v>153</v>
      </c>
      <c r="K136" t="s">
        <v>152</v>
      </c>
      <c r="L136">
        <f t="shared" ref="L136:L166" si="4">MIN(F136:K136)</f>
        <v>3.9</v>
      </c>
      <c r="N136">
        <v>4.5</v>
      </c>
      <c r="O136">
        <v>4.4000000000000004</v>
      </c>
      <c r="P136">
        <v>4.8</v>
      </c>
      <c r="Q136">
        <v>5</v>
      </c>
      <c r="R136">
        <v>6.5</v>
      </c>
      <c r="S136">
        <v>4.2</v>
      </c>
      <c r="T136">
        <v>6.8</v>
      </c>
      <c r="U136" t="s">
        <v>152</v>
      </c>
      <c r="V136" t="s">
        <v>153</v>
      </c>
      <c r="W136" t="s">
        <v>153</v>
      </c>
      <c r="X136" t="s">
        <v>152</v>
      </c>
      <c r="Y136" t="s">
        <v>152</v>
      </c>
      <c r="Z136">
        <f t="shared" ref="Z136:Z170" si="5">MIN(O136:Y136)</f>
        <v>4.2</v>
      </c>
      <c r="AB136">
        <v>3.4</v>
      </c>
      <c r="AC136">
        <v>2.8</v>
      </c>
      <c r="AD136">
        <f t="shared" ref="AD136:AD170" si="6">MIN(AB136:AC136)</f>
        <v>2.8</v>
      </c>
    </row>
    <row r="137" spans="3:30" x14ac:dyDescent="0.25">
      <c r="D137">
        <v>3</v>
      </c>
      <c r="F137" t="s">
        <v>67</v>
      </c>
      <c r="G137" t="s">
        <v>155</v>
      </c>
      <c r="H137" t="s">
        <v>155</v>
      </c>
      <c r="I137" t="s">
        <v>155</v>
      </c>
      <c r="J137" t="s">
        <v>155</v>
      </c>
      <c r="K137" t="s">
        <v>155</v>
      </c>
      <c r="N137" t="s">
        <v>155</v>
      </c>
      <c r="O137" t="s">
        <v>155</v>
      </c>
      <c r="P137" t="s">
        <v>155</v>
      </c>
      <c r="Q137" t="s">
        <v>155</v>
      </c>
      <c r="R137" t="s">
        <v>155</v>
      </c>
      <c r="S137" t="s">
        <v>155</v>
      </c>
      <c r="T137" t="s">
        <v>155</v>
      </c>
      <c r="U137" t="s">
        <v>155</v>
      </c>
      <c r="V137" t="s">
        <v>155</v>
      </c>
      <c r="W137" t="s">
        <v>155</v>
      </c>
      <c r="X137" t="s">
        <v>155</v>
      </c>
      <c r="Y137" t="s">
        <v>155</v>
      </c>
    </row>
    <row r="138" spans="3:30" x14ac:dyDescent="0.25">
      <c r="D138">
        <v>4</v>
      </c>
      <c r="F138" t="s">
        <v>67</v>
      </c>
      <c r="G138" t="s">
        <v>67</v>
      </c>
      <c r="H138" t="s">
        <v>155</v>
      </c>
      <c r="I138">
        <v>5.7</v>
      </c>
      <c r="J138" t="s">
        <v>151</v>
      </c>
      <c r="K138" t="s">
        <v>151</v>
      </c>
      <c r="L138">
        <f t="shared" si="4"/>
        <v>5.7</v>
      </c>
      <c r="N138" t="s">
        <v>155</v>
      </c>
      <c r="O138" t="s">
        <v>151</v>
      </c>
      <c r="P138" t="s">
        <v>155</v>
      </c>
      <c r="Q138" t="s">
        <v>67</v>
      </c>
      <c r="R138" t="s">
        <v>151</v>
      </c>
      <c r="S138">
        <v>8.1999999999999993</v>
      </c>
      <c r="T138" t="s">
        <v>155</v>
      </c>
      <c r="U138" t="s">
        <v>153</v>
      </c>
      <c r="V138">
        <v>5.8</v>
      </c>
      <c r="W138" t="s">
        <v>153</v>
      </c>
      <c r="X138">
        <v>7.1</v>
      </c>
      <c r="Y138">
        <v>7.7</v>
      </c>
      <c r="Z138">
        <f t="shared" si="5"/>
        <v>5.8</v>
      </c>
      <c r="AB138">
        <v>3.1</v>
      </c>
      <c r="AC138">
        <v>3.7</v>
      </c>
      <c r="AD138">
        <f t="shared" si="6"/>
        <v>3.1</v>
      </c>
    </row>
    <row r="139" spans="3:30" x14ac:dyDescent="0.25">
      <c r="D139">
        <v>5</v>
      </c>
      <c r="F139" t="s">
        <v>155</v>
      </c>
      <c r="G139" t="s">
        <v>153</v>
      </c>
      <c r="H139">
        <v>5.0999999999999996</v>
      </c>
      <c r="I139" t="s">
        <v>155</v>
      </c>
      <c r="J139" t="s">
        <v>67</v>
      </c>
      <c r="K139">
        <v>5.0999999999999996</v>
      </c>
      <c r="L139">
        <f t="shared" si="4"/>
        <v>5.0999999999999996</v>
      </c>
      <c r="N139">
        <v>5.9</v>
      </c>
      <c r="O139">
        <v>5.2</v>
      </c>
      <c r="P139">
        <v>6.9</v>
      </c>
      <c r="Q139">
        <v>5.2</v>
      </c>
      <c r="R139">
        <v>3.4</v>
      </c>
      <c r="S139">
        <v>2.9</v>
      </c>
      <c r="T139" t="s">
        <v>152</v>
      </c>
      <c r="U139" t="s">
        <v>152</v>
      </c>
      <c r="V139">
        <v>4.2</v>
      </c>
      <c r="W139">
        <v>5</v>
      </c>
      <c r="X139" t="s">
        <v>153</v>
      </c>
      <c r="Y139" t="s">
        <v>153</v>
      </c>
      <c r="Z139">
        <f t="shared" si="5"/>
        <v>2.9</v>
      </c>
      <c r="AB139">
        <v>2.9</v>
      </c>
      <c r="AC139">
        <v>4.0999999999999996</v>
      </c>
      <c r="AD139">
        <f t="shared" si="6"/>
        <v>2.9</v>
      </c>
    </row>
    <row r="140" spans="3:30" x14ac:dyDescent="0.25">
      <c r="D140">
        <v>6</v>
      </c>
      <c r="F140" t="s">
        <v>67</v>
      </c>
      <c r="G140" t="s">
        <v>67</v>
      </c>
      <c r="H140" t="s">
        <v>67</v>
      </c>
      <c r="I140" t="s">
        <v>151</v>
      </c>
      <c r="J140" t="s">
        <v>152</v>
      </c>
      <c r="K140" t="s">
        <v>153</v>
      </c>
      <c r="N140" t="s">
        <v>155</v>
      </c>
      <c r="O140" t="s">
        <v>151</v>
      </c>
      <c r="P140" t="s">
        <v>151</v>
      </c>
      <c r="Q140">
        <v>7.5</v>
      </c>
      <c r="R140" t="s">
        <v>153</v>
      </c>
      <c r="S140" t="s">
        <v>151</v>
      </c>
      <c r="T140" t="s">
        <v>67</v>
      </c>
      <c r="U140" t="s">
        <v>153</v>
      </c>
      <c r="V140" t="s">
        <v>153</v>
      </c>
      <c r="W140" t="s">
        <v>153</v>
      </c>
      <c r="X140" t="s">
        <v>153</v>
      </c>
      <c r="Y140" t="s">
        <v>153</v>
      </c>
      <c r="Z140">
        <f t="shared" si="5"/>
        <v>7.5</v>
      </c>
      <c r="AB140">
        <v>5.5</v>
      </c>
      <c r="AC140">
        <v>4.4000000000000004</v>
      </c>
      <c r="AD140">
        <f t="shared" si="6"/>
        <v>4.4000000000000004</v>
      </c>
    </row>
    <row r="141" spans="3:30" x14ac:dyDescent="0.25">
      <c r="D141">
        <v>7</v>
      </c>
      <c r="F141" t="s">
        <v>151</v>
      </c>
      <c r="G141" t="s">
        <v>152</v>
      </c>
      <c r="H141">
        <v>6.4</v>
      </c>
      <c r="I141" t="s">
        <v>152</v>
      </c>
      <c r="J141">
        <v>5.0999999999999996</v>
      </c>
      <c r="K141">
        <v>6.2</v>
      </c>
      <c r="L141">
        <f t="shared" si="4"/>
        <v>5.0999999999999996</v>
      </c>
      <c r="N141" t="s">
        <v>151</v>
      </c>
      <c r="O141" t="s">
        <v>213</v>
      </c>
      <c r="P141" t="s">
        <v>152</v>
      </c>
      <c r="Q141">
        <v>7.9</v>
      </c>
      <c r="R141" t="s">
        <v>152</v>
      </c>
      <c r="S141" t="s">
        <v>153</v>
      </c>
      <c r="T141">
        <v>6.4</v>
      </c>
      <c r="U141">
        <v>6.3</v>
      </c>
      <c r="V141" t="s">
        <v>153</v>
      </c>
      <c r="W141" t="s">
        <v>153</v>
      </c>
      <c r="X141" t="s">
        <v>153</v>
      </c>
      <c r="Y141" t="s">
        <v>153</v>
      </c>
      <c r="Z141">
        <f t="shared" si="5"/>
        <v>6.3</v>
      </c>
      <c r="AB141">
        <v>6.4</v>
      </c>
      <c r="AC141">
        <v>5.0999999999999996</v>
      </c>
      <c r="AD141">
        <f t="shared" si="6"/>
        <v>5.0999999999999996</v>
      </c>
    </row>
    <row r="142" spans="3:30" x14ac:dyDescent="0.25">
      <c r="D142">
        <v>8</v>
      </c>
      <c r="F142" t="s">
        <v>67</v>
      </c>
      <c r="G142" t="s">
        <v>155</v>
      </c>
      <c r="H142">
        <v>8.16</v>
      </c>
      <c r="I142" t="s">
        <v>155</v>
      </c>
      <c r="J142">
        <v>6.43</v>
      </c>
      <c r="K142">
        <v>4.6399999999999997</v>
      </c>
      <c r="L142">
        <f t="shared" si="4"/>
        <v>4.6399999999999997</v>
      </c>
      <c r="N142" t="s">
        <v>152</v>
      </c>
      <c r="O142">
        <v>9.58</v>
      </c>
      <c r="P142">
        <v>5.51</v>
      </c>
      <c r="Q142" t="s">
        <v>153</v>
      </c>
      <c r="R142" t="s">
        <v>152</v>
      </c>
      <c r="S142">
        <v>8.5299999999999994</v>
      </c>
      <c r="T142">
        <v>6.29</v>
      </c>
      <c r="U142">
        <v>5.91</v>
      </c>
      <c r="V142">
        <v>6.4</v>
      </c>
      <c r="W142">
        <v>6.4</v>
      </c>
      <c r="X142" t="s">
        <v>152</v>
      </c>
      <c r="Y142" t="s">
        <v>152</v>
      </c>
      <c r="Z142">
        <f t="shared" si="5"/>
        <v>5.51</v>
      </c>
      <c r="AB142">
        <v>3.1</v>
      </c>
      <c r="AC142">
        <v>4.29</v>
      </c>
      <c r="AD142">
        <f t="shared" si="6"/>
        <v>3.1</v>
      </c>
    </row>
    <row r="143" spans="3:30" x14ac:dyDescent="0.25">
      <c r="D143">
        <v>9</v>
      </c>
      <c r="F143" t="s">
        <v>67</v>
      </c>
      <c r="G143" t="s">
        <v>67</v>
      </c>
      <c r="H143" t="s">
        <v>67</v>
      </c>
      <c r="I143" t="s">
        <v>155</v>
      </c>
      <c r="J143" t="s">
        <v>155</v>
      </c>
      <c r="K143" t="s">
        <v>155</v>
      </c>
      <c r="N143" t="s">
        <v>155</v>
      </c>
      <c r="O143" t="s">
        <v>155</v>
      </c>
      <c r="P143" t="s">
        <v>67</v>
      </c>
      <c r="Q143" t="s">
        <v>155</v>
      </c>
      <c r="R143" t="s">
        <v>155</v>
      </c>
      <c r="S143" t="s">
        <v>155</v>
      </c>
      <c r="T143" t="s">
        <v>155</v>
      </c>
      <c r="U143" t="s">
        <v>155</v>
      </c>
      <c r="V143" t="s">
        <v>155</v>
      </c>
      <c r="W143" t="s">
        <v>155</v>
      </c>
      <c r="X143" t="s">
        <v>155</v>
      </c>
      <c r="Y143" t="s">
        <v>155</v>
      </c>
    </row>
    <row r="144" spans="3:30" x14ac:dyDescent="0.25">
      <c r="D144">
        <v>10</v>
      </c>
      <c r="F144" t="s">
        <v>155</v>
      </c>
      <c r="G144">
        <v>4.59</v>
      </c>
      <c r="H144" t="s">
        <v>155</v>
      </c>
      <c r="I144" t="s">
        <v>151</v>
      </c>
      <c r="J144" t="s">
        <v>155</v>
      </c>
      <c r="K144" t="s">
        <v>155</v>
      </c>
      <c r="L144">
        <f t="shared" si="4"/>
        <v>4.59</v>
      </c>
      <c r="N144" t="s">
        <v>152</v>
      </c>
      <c r="O144">
        <v>6.75</v>
      </c>
      <c r="P144" t="s">
        <v>155</v>
      </c>
      <c r="Q144" t="s">
        <v>151</v>
      </c>
      <c r="R144" t="s">
        <v>155</v>
      </c>
      <c r="S144" t="s">
        <v>151</v>
      </c>
      <c r="T144">
        <v>8.27</v>
      </c>
      <c r="U144" t="s">
        <v>155</v>
      </c>
      <c r="V144" t="s">
        <v>151</v>
      </c>
      <c r="W144" t="s">
        <v>153</v>
      </c>
      <c r="X144" t="s">
        <v>155</v>
      </c>
      <c r="Y144" t="s">
        <v>152</v>
      </c>
      <c r="Z144">
        <f t="shared" si="5"/>
        <v>6.75</v>
      </c>
      <c r="AB144">
        <v>3.61</v>
      </c>
      <c r="AC144">
        <v>3.73</v>
      </c>
      <c r="AD144">
        <f t="shared" si="6"/>
        <v>3.61</v>
      </c>
    </row>
    <row r="145" spans="4:30" x14ac:dyDescent="0.25">
      <c r="D145">
        <v>11</v>
      </c>
      <c r="F145" t="s">
        <v>155</v>
      </c>
      <c r="G145" t="s">
        <v>152</v>
      </c>
      <c r="H145" t="s">
        <v>155</v>
      </c>
      <c r="I145" t="s">
        <v>151</v>
      </c>
      <c r="J145" t="s">
        <v>151</v>
      </c>
      <c r="K145" t="s">
        <v>151</v>
      </c>
      <c r="N145">
        <v>9.23</v>
      </c>
      <c r="O145" t="s">
        <v>151</v>
      </c>
      <c r="P145" t="s">
        <v>155</v>
      </c>
      <c r="Q145" t="s">
        <v>155</v>
      </c>
      <c r="R145">
        <v>8.9</v>
      </c>
      <c r="S145" t="s">
        <v>152</v>
      </c>
      <c r="T145" t="s">
        <v>151</v>
      </c>
      <c r="U145" t="s">
        <v>152</v>
      </c>
      <c r="V145" t="s">
        <v>155</v>
      </c>
      <c r="W145" t="s">
        <v>155</v>
      </c>
      <c r="X145" t="s">
        <v>155</v>
      </c>
      <c r="Y145">
        <v>6.91</v>
      </c>
      <c r="Z145">
        <f t="shared" si="5"/>
        <v>6.91</v>
      </c>
      <c r="AB145">
        <v>7.73</v>
      </c>
      <c r="AC145">
        <v>6.91</v>
      </c>
      <c r="AD145">
        <f t="shared" si="6"/>
        <v>6.91</v>
      </c>
    </row>
    <row r="146" spans="4:30" x14ac:dyDescent="0.25">
      <c r="D146">
        <v>12</v>
      </c>
      <c r="F146" t="s">
        <v>155</v>
      </c>
      <c r="G146" t="s">
        <v>151</v>
      </c>
      <c r="H146" t="s">
        <v>153</v>
      </c>
      <c r="I146" t="s">
        <v>151</v>
      </c>
      <c r="J146">
        <v>5.59</v>
      </c>
      <c r="K146">
        <v>8.8000000000000007</v>
      </c>
      <c r="L146">
        <f t="shared" si="4"/>
        <v>5.59</v>
      </c>
      <c r="N146" t="s">
        <v>152</v>
      </c>
      <c r="O146">
        <v>9.23</v>
      </c>
      <c r="P146">
        <v>8.65</v>
      </c>
      <c r="Q146" t="s">
        <v>152</v>
      </c>
      <c r="R146">
        <v>6.72</v>
      </c>
      <c r="S146" t="s">
        <v>152</v>
      </c>
      <c r="T146">
        <v>8.09</v>
      </c>
      <c r="U146">
        <v>9.09</v>
      </c>
      <c r="V146">
        <v>9.85</v>
      </c>
      <c r="W146" t="s">
        <v>152</v>
      </c>
      <c r="X146">
        <v>7.14</v>
      </c>
      <c r="Y146">
        <v>9.52</v>
      </c>
      <c r="Z146">
        <f t="shared" si="5"/>
        <v>6.72</v>
      </c>
      <c r="AB146">
        <v>5.64</v>
      </c>
      <c r="AC146">
        <v>4.55</v>
      </c>
      <c r="AD146">
        <f t="shared" si="6"/>
        <v>4.55</v>
      </c>
    </row>
    <row r="147" spans="4:30" x14ac:dyDescent="0.25">
      <c r="D147">
        <v>13</v>
      </c>
      <c r="F147" t="s">
        <v>155</v>
      </c>
      <c r="G147" t="s">
        <v>155</v>
      </c>
      <c r="H147" t="s">
        <v>155</v>
      </c>
      <c r="I147">
        <v>4.9000000000000004</v>
      </c>
      <c r="J147">
        <v>4.3</v>
      </c>
      <c r="K147">
        <v>4.7</v>
      </c>
      <c r="L147">
        <f t="shared" si="4"/>
        <v>4.3</v>
      </c>
      <c r="N147">
        <v>8.1</v>
      </c>
      <c r="O147">
        <v>6.4</v>
      </c>
      <c r="P147">
        <v>4.8</v>
      </c>
      <c r="Q147">
        <v>5</v>
      </c>
      <c r="R147">
        <v>6.5</v>
      </c>
      <c r="S147">
        <v>4.5999999999999996</v>
      </c>
      <c r="T147">
        <v>5</v>
      </c>
      <c r="U147">
        <v>5.2</v>
      </c>
      <c r="V147">
        <v>5.0999999999999996</v>
      </c>
      <c r="W147">
        <v>5.0999999999999996</v>
      </c>
      <c r="X147">
        <v>8.1</v>
      </c>
      <c r="Y147">
        <v>7.2</v>
      </c>
      <c r="Z147">
        <f t="shared" si="5"/>
        <v>4.5999999999999996</v>
      </c>
      <c r="AB147">
        <v>3.6</v>
      </c>
      <c r="AC147">
        <v>3.6</v>
      </c>
      <c r="AD147">
        <f t="shared" si="6"/>
        <v>3.6</v>
      </c>
    </row>
    <row r="148" spans="4:30" x14ac:dyDescent="0.25">
      <c r="D148">
        <v>14</v>
      </c>
      <c r="F148" t="s">
        <v>155</v>
      </c>
      <c r="G148" t="s">
        <v>155</v>
      </c>
      <c r="H148" t="s">
        <v>155</v>
      </c>
      <c r="I148" t="s">
        <v>152</v>
      </c>
      <c r="J148" t="s">
        <v>151</v>
      </c>
      <c r="K148">
        <v>8.3000000000000007</v>
      </c>
      <c r="L148">
        <f t="shared" si="4"/>
        <v>8.3000000000000007</v>
      </c>
      <c r="N148" t="s">
        <v>152</v>
      </c>
      <c r="O148" t="s">
        <v>152</v>
      </c>
      <c r="P148" t="s">
        <v>152</v>
      </c>
      <c r="Q148">
        <v>5.3</v>
      </c>
      <c r="R148">
        <v>4.3</v>
      </c>
      <c r="S148">
        <v>5</v>
      </c>
      <c r="T148" t="s">
        <v>153</v>
      </c>
      <c r="U148">
        <v>6.1</v>
      </c>
      <c r="V148">
        <v>5.6</v>
      </c>
      <c r="W148">
        <v>6.4</v>
      </c>
      <c r="X148">
        <v>8.3000000000000007</v>
      </c>
      <c r="Y148">
        <v>7.2</v>
      </c>
      <c r="Z148">
        <f t="shared" si="5"/>
        <v>4.3</v>
      </c>
      <c r="AB148">
        <v>4.0999999999999996</v>
      </c>
      <c r="AC148">
        <v>3.8</v>
      </c>
      <c r="AD148">
        <f t="shared" si="6"/>
        <v>3.8</v>
      </c>
    </row>
    <row r="149" spans="4:30" x14ac:dyDescent="0.25">
      <c r="D149">
        <v>15</v>
      </c>
      <c r="F149" t="s">
        <v>155</v>
      </c>
      <c r="G149" t="s">
        <v>151</v>
      </c>
      <c r="H149" t="s">
        <v>152</v>
      </c>
      <c r="I149">
        <v>7</v>
      </c>
      <c r="J149">
        <v>6.2</v>
      </c>
      <c r="K149">
        <v>5.0999999999999996</v>
      </c>
      <c r="L149">
        <f t="shared" si="4"/>
        <v>5.0999999999999996</v>
      </c>
      <c r="N149">
        <v>8.4</v>
      </c>
      <c r="O149" t="s">
        <v>153</v>
      </c>
      <c r="P149">
        <v>6.2</v>
      </c>
      <c r="Q149">
        <v>5</v>
      </c>
      <c r="R149">
        <v>5</v>
      </c>
      <c r="S149">
        <v>4.8</v>
      </c>
      <c r="T149">
        <v>5.4</v>
      </c>
      <c r="U149">
        <v>4.8</v>
      </c>
      <c r="V149">
        <v>5.6</v>
      </c>
      <c r="W149">
        <v>4.8</v>
      </c>
      <c r="X149">
        <v>5.8</v>
      </c>
      <c r="Y149">
        <v>6.2</v>
      </c>
      <c r="Z149">
        <f t="shared" si="5"/>
        <v>4.8</v>
      </c>
      <c r="AB149">
        <v>4.2</v>
      </c>
      <c r="AC149">
        <v>4.0999999999999996</v>
      </c>
      <c r="AD149">
        <f t="shared" si="6"/>
        <v>4.0999999999999996</v>
      </c>
    </row>
    <row r="150" spans="4:30" x14ac:dyDescent="0.25">
      <c r="D150">
        <v>16</v>
      </c>
      <c r="F150">
        <v>3.2</v>
      </c>
      <c r="G150">
        <v>4.2</v>
      </c>
      <c r="H150">
        <v>4.8</v>
      </c>
      <c r="I150">
        <v>3.3</v>
      </c>
      <c r="J150">
        <v>3.4</v>
      </c>
      <c r="K150">
        <v>3.6</v>
      </c>
      <c r="L150">
        <f t="shared" si="4"/>
        <v>3.2</v>
      </c>
      <c r="N150" t="s">
        <v>153</v>
      </c>
      <c r="O150">
        <v>3.5</v>
      </c>
      <c r="P150" t="s">
        <v>153</v>
      </c>
      <c r="Q150" t="s">
        <v>151</v>
      </c>
      <c r="R150" t="s">
        <v>153</v>
      </c>
      <c r="S150">
        <v>4.3</v>
      </c>
      <c r="T150" t="s">
        <v>153</v>
      </c>
      <c r="U150">
        <v>5.4</v>
      </c>
      <c r="V150">
        <v>4.0999999999999996</v>
      </c>
      <c r="W150">
        <v>4.01</v>
      </c>
      <c r="X150">
        <v>3.5</v>
      </c>
      <c r="Y150">
        <v>3.6</v>
      </c>
      <c r="Z150">
        <f t="shared" si="5"/>
        <v>3.5</v>
      </c>
      <c r="AB150">
        <v>2.8</v>
      </c>
      <c r="AC150">
        <v>3.2</v>
      </c>
      <c r="AD150">
        <f t="shared" si="6"/>
        <v>2.8</v>
      </c>
    </row>
    <row r="151" spans="4:30" x14ac:dyDescent="0.25">
      <c r="D151">
        <v>17</v>
      </c>
      <c r="F151" t="s">
        <v>155</v>
      </c>
      <c r="G151" t="s">
        <v>151</v>
      </c>
      <c r="H151" t="s">
        <v>151</v>
      </c>
      <c r="I151" t="s">
        <v>151</v>
      </c>
      <c r="J151">
        <v>3.5</v>
      </c>
      <c r="K151" t="s">
        <v>153</v>
      </c>
      <c r="L151">
        <f t="shared" si="4"/>
        <v>3.5</v>
      </c>
      <c r="N151">
        <v>3.4</v>
      </c>
      <c r="O151">
        <v>4.01</v>
      </c>
      <c r="P151">
        <v>3.01</v>
      </c>
      <c r="Q151">
        <v>3.7</v>
      </c>
      <c r="R151">
        <v>4.01</v>
      </c>
      <c r="S151">
        <v>3.01</v>
      </c>
      <c r="T151">
        <v>3.3</v>
      </c>
      <c r="U151">
        <v>2.1</v>
      </c>
      <c r="V151">
        <v>2.8</v>
      </c>
      <c r="W151">
        <v>3.5</v>
      </c>
      <c r="X151">
        <v>2.7</v>
      </c>
      <c r="Y151" t="s">
        <v>152</v>
      </c>
      <c r="Z151">
        <f t="shared" si="5"/>
        <v>2.1</v>
      </c>
      <c r="AB151">
        <v>3.01</v>
      </c>
      <c r="AC151">
        <v>2.1</v>
      </c>
      <c r="AD151">
        <f t="shared" si="6"/>
        <v>2.1</v>
      </c>
    </row>
    <row r="152" spans="4:30" x14ac:dyDescent="0.25">
      <c r="D152">
        <v>18</v>
      </c>
      <c r="F152" t="s">
        <v>155</v>
      </c>
      <c r="G152" t="s">
        <v>153</v>
      </c>
      <c r="H152">
        <v>3.6</v>
      </c>
      <c r="I152" t="s">
        <v>181</v>
      </c>
      <c r="L152">
        <f t="shared" si="4"/>
        <v>3.6</v>
      </c>
      <c r="N152" t="s">
        <v>214</v>
      </c>
      <c r="O152" t="s">
        <v>214</v>
      </c>
      <c r="P152" t="s">
        <v>214</v>
      </c>
      <c r="Q152" t="s">
        <v>151</v>
      </c>
      <c r="R152" t="s">
        <v>215</v>
      </c>
      <c r="S152">
        <v>3.7</v>
      </c>
      <c r="Z152">
        <f t="shared" si="5"/>
        <v>3.7</v>
      </c>
      <c r="AB152">
        <v>3.6</v>
      </c>
      <c r="AD152">
        <f t="shared" si="6"/>
        <v>3.6</v>
      </c>
    </row>
    <row r="153" spans="4:30" x14ac:dyDescent="0.25">
      <c r="D153">
        <v>19</v>
      </c>
      <c r="F153" t="s">
        <v>155</v>
      </c>
      <c r="G153" t="s">
        <v>151</v>
      </c>
      <c r="H153" t="s">
        <v>151</v>
      </c>
      <c r="I153" t="s">
        <v>155</v>
      </c>
      <c r="J153" t="s">
        <v>155</v>
      </c>
      <c r="K153" t="s">
        <v>155</v>
      </c>
      <c r="N153" t="s">
        <v>151</v>
      </c>
      <c r="O153" t="s">
        <v>151</v>
      </c>
      <c r="P153" t="s">
        <v>151</v>
      </c>
      <c r="Q153">
        <v>7.52</v>
      </c>
      <c r="R153" t="s">
        <v>151</v>
      </c>
      <c r="S153" t="s">
        <v>152</v>
      </c>
      <c r="T153" t="s">
        <v>216</v>
      </c>
      <c r="U153" t="s">
        <v>153</v>
      </c>
      <c r="V153" t="s">
        <v>216</v>
      </c>
      <c r="W153" t="s">
        <v>216</v>
      </c>
      <c r="X153" t="s">
        <v>216</v>
      </c>
      <c r="Y153" t="s">
        <v>216</v>
      </c>
      <c r="Z153">
        <f t="shared" si="5"/>
        <v>7.52</v>
      </c>
      <c r="AB153">
        <v>4.1399999999999997</v>
      </c>
      <c r="AC153">
        <v>8.09</v>
      </c>
      <c r="AD153">
        <f t="shared" si="6"/>
        <v>4.1399999999999997</v>
      </c>
    </row>
    <row r="154" spans="4:30" x14ac:dyDescent="0.25">
      <c r="D154">
        <v>20</v>
      </c>
      <c r="F154" t="s">
        <v>155</v>
      </c>
      <c r="G154" t="s">
        <v>155</v>
      </c>
      <c r="H154" t="s">
        <v>155</v>
      </c>
      <c r="I154" t="s">
        <v>181</v>
      </c>
    </row>
    <row r="155" spans="4:30" x14ac:dyDescent="0.25">
      <c r="D155">
        <v>21</v>
      </c>
      <c r="F155" t="s">
        <v>67</v>
      </c>
      <c r="G155" t="s">
        <v>67</v>
      </c>
      <c r="H155" t="s">
        <v>67</v>
      </c>
      <c r="I155" t="s">
        <v>67</v>
      </c>
      <c r="J155" t="s">
        <v>152</v>
      </c>
      <c r="K155" t="s">
        <v>155</v>
      </c>
      <c r="N155">
        <v>5.27</v>
      </c>
      <c r="O155">
        <v>5.91</v>
      </c>
      <c r="P155">
        <v>6.97</v>
      </c>
      <c r="Q155">
        <v>6.15</v>
      </c>
      <c r="R155" t="s">
        <v>152</v>
      </c>
      <c r="S155" t="s">
        <v>153</v>
      </c>
      <c r="T155">
        <v>9.73</v>
      </c>
      <c r="U155" t="s">
        <v>155</v>
      </c>
      <c r="V155">
        <v>7.74</v>
      </c>
      <c r="W155" t="s">
        <v>155</v>
      </c>
      <c r="X155" t="s">
        <v>152</v>
      </c>
      <c r="Y155" t="s">
        <v>152</v>
      </c>
      <c r="Z155">
        <f t="shared" si="5"/>
        <v>5.91</v>
      </c>
      <c r="AB155">
        <v>4.91</v>
      </c>
      <c r="AC155">
        <v>3.14</v>
      </c>
      <c r="AD155">
        <f t="shared" si="6"/>
        <v>3.14</v>
      </c>
    </row>
    <row r="156" spans="4:30" x14ac:dyDescent="0.25">
      <c r="D156">
        <v>22</v>
      </c>
      <c r="F156" t="s">
        <v>152</v>
      </c>
      <c r="G156">
        <v>7.9</v>
      </c>
      <c r="H156">
        <v>8.23</v>
      </c>
      <c r="I156" t="s">
        <v>67</v>
      </c>
      <c r="J156" t="s">
        <v>152</v>
      </c>
      <c r="K156">
        <v>6.15</v>
      </c>
      <c r="L156">
        <f t="shared" si="4"/>
        <v>6.15</v>
      </c>
      <c r="N156">
        <v>6.54</v>
      </c>
      <c r="O156">
        <v>8.4700000000000006</v>
      </c>
      <c r="P156">
        <v>8.2100000000000009</v>
      </c>
      <c r="Q156" t="s">
        <v>153</v>
      </c>
      <c r="R156">
        <v>8.59</v>
      </c>
      <c r="S156" t="s">
        <v>153</v>
      </c>
      <c r="T156" t="s">
        <v>152</v>
      </c>
      <c r="U156">
        <v>9.8699999999999992</v>
      </c>
      <c r="V156" t="s">
        <v>152</v>
      </c>
      <c r="W156">
        <v>8.66</v>
      </c>
      <c r="X156">
        <v>9.36</v>
      </c>
      <c r="Y156">
        <v>7.89</v>
      </c>
      <c r="Z156">
        <f t="shared" si="5"/>
        <v>7.89</v>
      </c>
      <c r="AB156">
        <v>4.58</v>
      </c>
      <c r="AC156">
        <v>6.06</v>
      </c>
      <c r="AD156">
        <f t="shared" si="6"/>
        <v>4.58</v>
      </c>
    </row>
    <row r="157" spans="4:30" x14ac:dyDescent="0.25">
      <c r="D157">
        <v>23</v>
      </c>
      <c r="F157" t="s">
        <v>67</v>
      </c>
      <c r="G157">
        <v>6.67</v>
      </c>
      <c r="H157">
        <v>5.67</v>
      </c>
      <c r="I157" t="s">
        <v>151</v>
      </c>
      <c r="J157" t="s">
        <v>153</v>
      </c>
      <c r="K157">
        <v>6.95</v>
      </c>
      <c r="L157">
        <f t="shared" si="4"/>
        <v>5.67</v>
      </c>
      <c r="N157">
        <v>7.16</v>
      </c>
      <c r="O157">
        <v>8.0299999999999994</v>
      </c>
      <c r="P157">
        <v>8.8699999999999992</v>
      </c>
      <c r="Q157">
        <v>8.16</v>
      </c>
      <c r="R157" t="s">
        <v>152</v>
      </c>
      <c r="S157">
        <v>8.85</v>
      </c>
      <c r="T157" t="s">
        <v>152</v>
      </c>
      <c r="U157" t="s">
        <v>151</v>
      </c>
      <c r="V157" t="s">
        <v>155</v>
      </c>
      <c r="W157" t="s">
        <v>153</v>
      </c>
      <c r="X157" t="s">
        <v>153</v>
      </c>
      <c r="Y157" t="s">
        <v>153</v>
      </c>
      <c r="Z157">
        <f t="shared" si="5"/>
        <v>8.0299999999999994</v>
      </c>
      <c r="AB157">
        <v>5.67</v>
      </c>
      <c r="AC157">
        <v>4.9000000000000004</v>
      </c>
      <c r="AD157">
        <f t="shared" si="6"/>
        <v>4.9000000000000004</v>
      </c>
    </row>
    <row r="158" spans="4:30" x14ac:dyDescent="0.25">
      <c r="D158">
        <v>24</v>
      </c>
      <c r="F158" t="s">
        <v>155</v>
      </c>
      <c r="G158" t="s">
        <v>151</v>
      </c>
      <c r="H158" t="s">
        <v>67</v>
      </c>
      <c r="I158" t="s">
        <v>67</v>
      </c>
      <c r="J158" t="s">
        <v>152</v>
      </c>
      <c r="K158" t="s">
        <v>152</v>
      </c>
      <c r="N158">
        <v>7.79</v>
      </c>
      <c r="O158">
        <v>6.19</v>
      </c>
      <c r="P158">
        <v>8.8000000000000007</v>
      </c>
      <c r="Q158">
        <v>6.92</v>
      </c>
      <c r="R158">
        <v>5.86</v>
      </c>
      <c r="S158" t="s">
        <v>155</v>
      </c>
      <c r="T158" t="s">
        <v>151</v>
      </c>
      <c r="U158" t="s">
        <v>151</v>
      </c>
      <c r="V158" t="s">
        <v>151</v>
      </c>
      <c r="W158">
        <v>4.0999999999999996</v>
      </c>
      <c r="X158" t="s">
        <v>152</v>
      </c>
      <c r="Y158">
        <v>8.3000000000000007</v>
      </c>
      <c r="Z158">
        <f t="shared" si="5"/>
        <v>4.0999999999999996</v>
      </c>
      <c r="AB158">
        <v>3.09</v>
      </c>
      <c r="AC158">
        <v>2.4</v>
      </c>
      <c r="AD158">
        <f t="shared" si="6"/>
        <v>2.4</v>
      </c>
    </row>
    <row r="159" spans="4:30" x14ac:dyDescent="0.25">
      <c r="D159">
        <v>25</v>
      </c>
      <c r="F159" t="s">
        <v>217</v>
      </c>
      <c r="G159" t="s">
        <v>152</v>
      </c>
      <c r="H159" t="s">
        <v>155</v>
      </c>
      <c r="I159">
        <v>5.51</v>
      </c>
      <c r="J159">
        <v>5.0999999999999996</v>
      </c>
      <c r="K159">
        <v>5.64</v>
      </c>
      <c r="L159">
        <f t="shared" si="4"/>
        <v>5.0999999999999996</v>
      </c>
      <c r="N159" t="s">
        <v>152</v>
      </c>
      <c r="O159" t="s">
        <v>151</v>
      </c>
      <c r="P159" t="s">
        <v>151</v>
      </c>
      <c r="Q159">
        <v>6.09</v>
      </c>
      <c r="R159" t="s">
        <v>151</v>
      </c>
      <c r="S159" t="s">
        <v>152</v>
      </c>
      <c r="T159" t="s">
        <v>152</v>
      </c>
      <c r="U159">
        <v>5.35</v>
      </c>
      <c r="V159" t="s">
        <v>151</v>
      </c>
      <c r="W159">
        <v>7.47</v>
      </c>
      <c r="X159">
        <v>5.98</v>
      </c>
      <c r="Y159" t="s">
        <v>153</v>
      </c>
      <c r="Z159">
        <f t="shared" si="5"/>
        <v>5.35</v>
      </c>
      <c r="AB159">
        <v>3.84</v>
      </c>
      <c r="AC159">
        <v>5.0999999999999996</v>
      </c>
      <c r="AD159">
        <f t="shared" si="6"/>
        <v>3.84</v>
      </c>
    </row>
    <row r="160" spans="4:30" x14ac:dyDescent="0.25">
      <c r="D160">
        <v>26</v>
      </c>
      <c r="F160" t="s">
        <v>67</v>
      </c>
      <c r="G160" t="s">
        <v>155</v>
      </c>
      <c r="H160" t="s">
        <v>155</v>
      </c>
      <c r="I160" t="s">
        <v>155</v>
      </c>
      <c r="J160" t="s">
        <v>155</v>
      </c>
      <c r="K160" t="s">
        <v>155</v>
      </c>
      <c r="N160" t="s">
        <v>155</v>
      </c>
      <c r="O160" t="s">
        <v>155</v>
      </c>
      <c r="P160" t="s">
        <v>152</v>
      </c>
      <c r="Q160" t="s">
        <v>153</v>
      </c>
      <c r="R160" t="s">
        <v>152</v>
      </c>
      <c r="S160">
        <v>5.01</v>
      </c>
      <c r="T160">
        <v>7.11</v>
      </c>
      <c r="U160">
        <v>8.98</v>
      </c>
      <c r="V160" t="s">
        <v>152</v>
      </c>
      <c r="W160">
        <v>7.85</v>
      </c>
      <c r="X160" t="s">
        <v>153</v>
      </c>
      <c r="Y160">
        <v>5.8</v>
      </c>
      <c r="Z160">
        <f t="shared" si="5"/>
        <v>5.01</v>
      </c>
      <c r="AB160">
        <v>3.91</v>
      </c>
      <c r="AC160">
        <v>5.19</v>
      </c>
      <c r="AD160">
        <f t="shared" si="6"/>
        <v>3.91</v>
      </c>
    </row>
    <row r="161" spans="4:30" x14ac:dyDescent="0.25">
      <c r="D161">
        <v>27</v>
      </c>
      <c r="F161" t="s">
        <v>155</v>
      </c>
      <c r="G161" t="s">
        <v>151</v>
      </c>
      <c r="H161" t="s">
        <v>153</v>
      </c>
      <c r="I161" t="s">
        <v>152</v>
      </c>
      <c r="J161" t="s">
        <v>151</v>
      </c>
      <c r="K161" t="s">
        <v>155</v>
      </c>
      <c r="N161" t="s">
        <v>155</v>
      </c>
      <c r="O161">
        <v>6.35</v>
      </c>
      <c r="P161" t="s">
        <v>155</v>
      </c>
      <c r="Q161" t="s">
        <v>153</v>
      </c>
      <c r="R161" t="s">
        <v>155</v>
      </c>
      <c r="S161">
        <v>4.91</v>
      </c>
      <c r="T161">
        <v>9.9700000000000006</v>
      </c>
      <c r="U161">
        <v>4.66</v>
      </c>
      <c r="V161">
        <v>5.4</v>
      </c>
      <c r="W161">
        <v>8.19</v>
      </c>
      <c r="X161" t="s">
        <v>155</v>
      </c>
      <c r="Y161" t="s">
        <v>155</v>
      </c>
      <c r="Z161">
        <f t="shared" si="5"/>
        <v>4.66</v>
      </c>
      <c r="AB161">
        <v>3.01</v>
      </c>
      <c r="AC161">
        <v>2.67</v>
      </c>
      <c r="AD161">
        <f t="shared" si="6"/>
        <v>2.67</v>
      </c>
    </row>
    <row r="162" spans="4:30" x14ac:dyDescent="0.25">
      <c r="D162">
        <v>28</v>
      </c>
      <c r="F162" t="s">
        <v>155</v>
      </c>
      <c r="G162" t="s">
        <v>155</v>
      </c>
      <c r="H162" t="s">
        <v>155</v>
      </c>
      <c r="I162" t="s">
        <v>151</v>
      </c>
      <c r="J162" t="s">
        <v>151</v>
      </c>
      <c r="K162" t="s">
        <v>153</v>
      </c>
      <c r="N162">
        <v>8.2100000000000009</v>
      </c>
      <c r="O162" t="s">
        <v>153</v>
      </c>
      <c r="P162" t="s">
        <v>152</v>
      </c>
      <c r="Q162" t="s">
        <v>152</v>
      </c>
      <c r="R162" t="s">
        <v>152</v>
      </c>
      <c r="S162" t="s">
        <v>152</v>
      </c>
      <c r="T162" t="s">
        <v>155</v>
      </c>
      <c r="U162" t="s">
        <v>152</v>
      </c>
      <c r="V162" t="s">
        <v>155</v>
      </c>
      <c r="W162" t="s">
        <v>155</v>
      </c>
      <c r="X162">
        <v>8.19</v>
      </c>
      <c r="Y162" t="s">
        <v>151</v>
      </c>
      <c r="Z162">
        <f t="shared" si="5"/>
        <v>8.19</v>
      </c>
      <c r="AB162">
        <v>6.66</v>
      </c>
      <c r="AC162">
        <v>5.21</v>
      </c>
      <c r="AD162">
        <f t="shared" si="6"/>
        <v>5.21</v>
      </c>
    </row>
    <row r="163" spans="4:30" x14ac:dyDescent="0.25">
      <c r="D163">
        <v>29</v>
      </c>
      <c r="F163" t="s">
        <v>153</v>
      </c>
      <c r="G163" t="s">
        <v>151</v>
      </c>
      <c r="H163" t="s">
        <v>151</v>
      </c>
      <c r="I163" t="s">
        <v>151</v>
      </c>
      <c r="J163" t="s">
        <v>155</v>
      </c>
      <c r="K163" t="s">
        <v>155</v>
      </c>
      <c r="N163" t="s">
        <v>152</v>
      </c>
      <c r="O163" t="s">
        <v>152</v>
      </c>
      <c r="P163" t="s">
        <v>152</v>
      </c>
      <c r="Q163">
        <v>7.64</v>
      </c>
      <c r="R163" t="s">
        <v>153</v>
      </c>
      <c r="S163" t="s">
        <v>155</v>
      </c>
      <c r="T163">
        <v>6.15</v>
      </c>
      <c r="U163">
        <v>5.47</v>
      </c>
      <c r="V163" t="s">
        <v>153</v>
      </c>
      <c r="W163">
        <v>7.23</v>
      </c>
      <c r="X163">
        <v>5.73</v>
      </c>
      <c r="Y163" t="s">
        <v>152</v>
      </c>
      <c r="Z163">
        <f t="shared" si="5"/>
        <v>5.47</v>
      </c>
      <c r="AB163">
        <v>3.21</v>
      </c>
      <c r="AC163">
        <v>3.46</v>
      </c>
      <c r="AD163">
        <f t="shared" si="6"/>
        <v>3.21</v>
      </c>
    </row>
    <row r="164" spans="4:30" x14ac:dyDescent="0.25">
      <c r="D164">
        <v>30</v>
      </c>
      <c r="F164" t="s">
        <v>151</v>
      </c>
      <c r="G164" t="s">
        <v>155</v>
      </c>
      <c r="H164" t="s">
        <v>152</v>
      </c>
      <c r="I164">
        <v>8.2100000000000009</v>
      </c>
      <c r="J164" t="s">
        <v>152</v>
      </c>
      <c r="K164" t="s">
        <v>153</v>
      </c>
      <c r="L164">
        <f t="shared" si="4"/>
        <v>8.2100000000000009</v>
      </c>
      <c r="N164" t="s">
        <v>151</v>
      </c>
      <c r="O164">
        <v>7.29</v>
      </c>
      <c r="P164" t="s">
        <v>152</v>
      </c>
      <c r="Q164" t="s">
        <v>152</v>
      </c>
      <c r="R164" t="s">
        <v>155</v>
      </c>
      <c r="S164">
        <v>4.6100000000000003</v>
      </c>
      <c r="T164" t="s">
        <v>152</v>
      </c>
      <c r="U164" t="s">
        <v>152</v>
      </c>
      <c r="V164" t="s">
        <v>153</v>
      </c>
      <c r="W164">
        <v>8.7200000000000006</v>
      </c>
      <c r="X164">
        <v>9.41</v>
      </c>
      <c r="Y164" t="s">
        <v>152</v>
      </c>
      <c r="Z164">
        <f t="shared" si="5"/>
        <v>4.6100000000000003</v>
      </c>
      <c r="AB164">
        <v>4.53</v>
      </c>
      <c r="AC164">
        <v>7.03</v>
      </c>
      <c r="AD164">
        <f t="shared" si="6"/>
        <v>4.53</v>
      </c>
    </row>
    <row r="165" spans="4:30" x14ac:dyDescent="0.25">
      <c r="D165">
        <v>31</v>
      </c>
      <c r="F165" t="s">
        <v>67</v>
      </c>
      <c r="G165" t="s">
        <v>155</v>
      </c>
      <c r="H165" t="s">
        <v>153</v>
      </c>
      <c r="I165" t="s">
        <v>153</v>
      </c>
      <c r="J165" t="s">
        <v>155</v>
      </c>
      <c r="K165">
        <v>4.9000000000000004</v>
      </c>
      <c r="L165">
        <f t="shared" si="4"/>
        <v>4.9000000000000004</v>
      </c>
      <c r="N165" t="s">
        <v>152</v>
      </c>
      <c r="O165">
        <v>7</v>
      </c>
      <c r="P165" t="s">
        <v>153</v>
      </c>
      <c r="Q165" t="s">
        <v>152</v>
      </c>
      <c r="R165" t="s">
        <v>152</v>
      </c>
      <c r="S165">
        <v>5.0999999999999996</v>
      </c>
      <c r="T165">
        <v>5.6</v>
      </c>
      <c r="U165">
        <v>4.7</v>
      </c>
      <c r="V165">
        <v>5.7</v>
      </c>
      <c r="W165" t="s">
        <v>153</v>
      </c>
      <c r="X165" t="s">
        <v>153</v>
      </c>
      <c r="Y165" t="s">
        <v>153</v>
      </c>
      <c r="Z165">
        <f t="shared" si="5"/>
        <v>4.7</v>
      </c>
      <c r="AB165">
        <v>3.3</v>
      </c>
      <c r="AC165">
        <v>3.01</v>
      </c>
      <c r="AD165">
        <f t="shared" si="6"/>
        <v>3.01</v>
      </c>
    </row>
    <row r="166" spans="4:30" x14ac:dyDescent="0.25">
      <c r="D166">
        <v>32</v>
      </c>
      <c r="F166" t="s">
        <v>155</v>
      </c>
      <c r="G166" t="s">
        <v>67</v>
      </c>
      <c r="H166" t="s">
        <v>155</v>
      </c>
      <c r="I166" t="s">
        <v>153</v>
      </c>
      <c r="J166" t="s">
        <v>67</v>
      </c>
      <c r="K166">
        <v>5.0999999999999996</v>
      </c>
      <c r="L166">
        <f t="shared" si="4"/>
        <v>5.0999999999999996</v>
      </c>
      <c r="N166">
        <v>7.4</v>
      </c>
      <c r="O166">
        <v>6.3</v>
      </c>
      <c r="P166">
        <v>5.0999999999999996</v>
      </c>
      <c r="Q166" t="s">
        <v>152</v>
      </c>
      <c r="R166">
        <v>5.3</v>
      </c>
      <c r="S166">
        <v>6.5</v>
      </c>
      <c r="T166" t="s">
        <v>152</v>
      </c>
      <c r="U166">
        <v>4.01</v>
      </c>
      <c r="V166">
        <v>4.01</v>
      </c>
      <c r="W166" t="s">
        <v>152</v>
      </c>
      <c r="X166" t="s">
        <v>152</v>
      </c>
      <c r="Y166" t="s">
        <v>152</v>
      </c>
      <c r="Z166">
        <f t="shared" si="5"/>
        <v>4.01</v>
      </c>
      <c r="AB166">
        <v>3.6</v>
      </c>
      <c r="AC166">
        <v>3.1</v>
      </c>
      <c r="AD166">
        <f t="shared" si="6"/>
        <v>3.1</v>
      </c>
    </row>
    <row r="167" spans="4:30" x14ac:dyDescent="0.25">
      <c r="D167">
        <v>33</v>
      </c>
      <c r="F167" t="s">
        <v>155</v>
      </c>
      <c r="G167" t="s">
        <v>151</v>
      </c>
      <c r="H167" t="s">
        <v>151</v>
      </c>
      <c r="I167" t="s">
        <v>155</v>
      </c>
      <c r="J167" t="s">
        <v>153</v>
      </c>
      <c r="K167" t="s">
        <v>153</v>
      </c>
      <c r="N167" t="s">
        <v>155</v>
      </c>
      <c r="O167" t="s">
        <v>152</v>
      </c>
      <c r="P167" t="s">
        <v>155</v>
      </c>
      <c r="Q167" t="s">
        <v>153</v>
      </c>
      <c r="R167" t="s">
        <v>151</v>
      </c>
      <c r="S167" t="s">
        <v>153</v>
      </c>
      <c r="T167" t="s">
        <v>153</v>
      </c>
      <c r="U167" t="s">
        <v>152</v>
      </c>
      <c r="V167" t="s">
        <v>153</v>
      </c>
      <c r="W167" t="s">
        <v>152</v>
      </c>
      <c r="X167">
        <v>7.2</v>
      </c>
      <c r="Y167">
        <v>7.2</v>
      </c>
      <c r="Z167">
        <f t="shared" si="5"/>
        <v>7.2</v>
      </c>
      <c r="AC167">
        <v>7.2</v>
      </c>
      <c r="AD167">
        <f t="shared" si="6"/>
        <v>7.2</v>
      </c>
    </row>
    <row r="168" spans="4:30" x14ac:dyDescent="0.25">
      <c r="D168">
        <v>34</v>
      </c>
      <c r="F168" t="s">
        <v>67</v>
      </c>
      <c r="G168" t="s">
        <v>155</v>
      </c>
      <c r="H168" t="s">
        <v>67</v>
      </c>
      <c r="I168" t="s">
        <v>155</v>
      </c>
      <c r="J168" t="s">
        <v>151</v>
      </c>
      <c r="K168" t="s">
        <v>155</v>
      </c>
      <c r="N168" t="s">
        <v>67</v>
      </c>
      <c r="O168" t="s">
        <v>155</v>
      </c>
      <c r="P168" t="s">
        <v>155</v>
      </c>
      <c r="Q168" t="s">
        <v>155</v>
      </c>
      <c r="R168" t="s">
        <v>152</v>
      </c>
      <c r="S168" t="s">
        <v>151</v>
      </c>
      <c r="T168" t="s">
        <v>153</v>
      </c>
      <c r="U168" t="s">
        <v>151</v>
      </c>
      <c r="V168" t="s">
        <v>153</v>
      </c>
      <c r="W168" t="s">
        <v>151</v>
      </c>
      <c r="X168" t="s">
        <v>155</v>
      </c>
      <c r="Y168" t="s">
        <v>151</v>
      </c>
    </row>
    <row r="169" spans="4:30" x14ac:dyDescent="0.25">
      <c r="D169">
        <v>35</v>
      </c>
      <c r="F169" t="s">
        <v>67</v>
      </c>
      <c r="G169" t="s">
        <v>155</v>
      </c>
      <c r="H169" t="s">
        <v>155</v>
      </c>
      <c r="I169" t="s">
        <v>67</v>
      </c>
      <c r="J169" t="s">
        <v>155</v>
      </c>
      <c r="K169" t="s">
        <v>151</v>
      </c>
      <c r="N169" t="s">
        <v>155</v>
      </c>
      <c r="O169" t="s">
        <v>151</v>
      </c>
      <c r="P169" t="s">
        <v>152</v>
      </c>
      <c r="Q169" t="s">
        <v>155</v>
      </c>
      <c r="R169" t="s">
        <v>152</v>
      </c>
      <c r="S169" t="s">
        <v>153</v>
      </c>
      <c r="T169" t="s">
        <v>152</v>
      </c>
      <c r="U169" t="s">
        <v>153</v>
      </c>
      <c r="V169" t="s">
        <v>153</v>
      </c>
      <c r="W169" t="s">
        <v>153</v>
      </c>
      <c r="X169" t="s">
        <v>155</v>
      </c>
      <c r="Y169" t="s">
        <v>152</v>
      </c>
      <c r="AB169">
        <v>7.6</v>
      </c>
      <c r="AC169">
        <v>8.5</v>
      </c>
      <c r="AD169">
        <f t="shared" si="6"/>
        <v>7.6</v>
      </c>
    </row>
    <row r="170" spans="4:30" x14ac:dyDescent="0.25">
      <c r="D170">
        <v>36</v>
      </c>
      <c r="F170" t="s">
        <v>67</v>
      </c>
      <c r="G170" t="s">
        <v>67</v>
      </c>
      <c r="H170" t="s">
        <v>67</v>
      </c>
      <c r="I170" t="s">
        <v>153</v>
      </c>
      <c r="J170" t="s">
        <v>155</v>
      </c>
      <c r="K170" t="s">
        <v>155</v>
      </c>
      <c r="N170">
        <v>7.8</v>
      </c>
      <c r="O170" t="s">
        <v>155</v>
      </c>
      <c r="P170" t="s">
        <v>67</v>
      </c>
      <c r="Q170" t="s">
        <v>67</v>
      </c>
      <c r="R170">
        <v>6.1</v>
      </c>
      <c r="S170" t="s">
        <v>152</v>
      </c>
      <c r="T170" t="s">
        <v>153</v>
      </c>
      <c r="U170" t="s">
        <v>151</v>
      </c>
      <c r="V170" t="s">
        <v>152</v>
      </c>
      <c r="W170" t="s">
        <v>153</v>
      </c>
      <c r="X170" t="s">
        <v>153</v>
      </c>
      <c r="Y170" t="s">
        <v>153</v>
      </c>
      <c r="Z170">
        <f t="shared" si="5"/>
        <v>6.1</v>
      </c>
      <c r="AB170">
        <v>5.8</v>
      </c>
      <c r="AD170">
        <f t="shared" si="6"/>
        <v>5.8</v>
      </c>
    </row>
    <row r="172" spans="4:30" x14ac:dyDescent="0.25">
      <c r="D172" s="10" t="s">
        <v>162</v>
      </c>
      <c r="E172" s="10"/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K172" t="s">
        <v>223</v>
      </c>
      <c r="N172" t="s">
        <v>224</v>
      </c>
      <c r="O172" t="s">
        <v>225</v>
      </c>
      <c r="P172" t="s">
        <v>224</v>
      </c>
      <c r="Q172" t="s">
        <v>226</v>
      </c>
      <c r="R172" t="s">
        <v>227</v>
      </c>
      <c r="S172" t="s">
        <v>228</v>
      </c>
      <c r="T172" t="s">
        <v>229</v>
      </c>
      <c r="U172" t="s">
        <v>230</v>
      </c>
      <c r="V172" t="s">
        <v>229</v>
      </c>
      <c r="W172" t="s">
        <v>229</v>
      </c>
      <c r="X172" t="s">
        <v>223</v>
      </c>
      <c r="Y172" t="s">
        <v>231</v>
      </c>
    </row>
    <row r="173" spans="4:30" x14ac:dyDescent="0.25">
      <c r="D173" s="10" t="s">
        <v>179</v>
      </c>
      <c r="E173" s="10"/>
      <c r="F173">
        <f>300/36</f>
        <v>8.3333333333333339</v>
      </c>
      <c r="G173">
        <f>600/36</f>
        <v>16.666666666666668</v>
      </c>
      <c r="H173">
        <f>800/36</f>
        <v>22.222222222222221</v>
      </c>
      <c r="I173">
        <f>700/34</f>
        <v>20.588235294117649</v>
      </c>
      <c r="J173">
        <f>900/34</f>
        <v>26.470588235294116</v>
      </c>
      <c r="K173">
        <f>1300/34</f>
        <v>38.235294117647058</v>
      </c>
      <c r="N173">
        <f>1300/36</f>
        <v>36.111111111111114</v>
      </c>
      <c r="O173">
        <f>1700/36</f>
        <v>47.222222222222221</v>
      </c>
      <c r="P173">
        <f>1300/36</f>
        <v>36.111111111111114</v>
      </c>
      <c r="Q173">
        <f>1400/36</f>
        <v>38.888888888888886</v>
      </c>
      <c r="R173">
        <f>1200/36</f>
        <v>33.333333333333336</v>
      </c>
      <c r="S173">
        <f>1600/36</f>
        <v>44.444444444444443</v>
      </c>
      <c r="T173">
        <f>1400/34</f>
        <v>41.176470588235297</v>
      </c>
      <c r="U173">
        <f>1600/34</f>
        <v>47.058823529411768</v>
      </c>
      <c r="V173">
        <f>1400/34</f>
        <v>41.176470588235297</v>
      </c>
      <c r="W173">
        <f>1400/34</f>
        <v>41.176470588235297</v>
      </c>
      <c r="X173">
        <f>1300/34</f>
        <v>38.235294117647058</v>
      </c>
      <c r="Y173">
        <f>1100/34</f>
        <v>32.352941176470587</v>
      </c>
    </row>
    <row r="179" spans="3:10" ht="31.5" x14ac:dyDescent="0.5">
      <c r="C179" s="4" t="s">
        <v>132</v>
      </c>
    </row>
    <row r="182" spans="3:10" ht="21" x14ac:dyDescent="0.35">
      <c r="C182" s="2" t="s">
        <v>247</v>
      </c>
      <c r="D182" s="2"/>
      <c r="E182" s="2"/>
    </row>
    <row r="184" spans="3:10" ht="21" x14ac:dyDescent="0.35">
      <c r="C184" s="2" t="s">
        <v>239</v>
      </c>
      <c r="D184" s="2" t="s">
        <v>240</v>
      </c>
      <c r="E184" s="2" t="s">
        <v>241</v>
      </c>
      <c r="F184" s="2" t="s">
        <v>242</v>
      </c>
      <c r="G184" s="2" t="s">
        <v>243</v>
      </c>
      <c r="H184" s="2" t="s">
        <v>244</v>
      </c>
      <c r="I184" s="2" t="s">
        <v>245</v>
      </c>
      <c r="J184" s="2" t="s">
        <v>246</v>
      </c>
    </row>
    <row r="185" spans="3:10" x14ac:dyDescent="0.25">
      <c r="C185">
        <v>79.310339999999997</v>
      </c>
      <c r="D185">
        <v>61.538460000000001</v>
      </c>
      <c r="E185">
        <v>66.666669999999996</v>
      </c>
      <c r="F185">
        <v>8.3333329999999997</v>
      </c>
      <c r="G185">
        <v>73.333330000000004</v>
      </c>
      <c r="H185">
        <v>60</v>
      </c>
      <c r="I185">
        <v>74.285709999999995</v>
      </c>
      <c r="J185">
        <v>36.111109999999996</v>
      </c>
    </row>
    <row r="186" spans="3:10" x14ac:dyDescent="0.25">
      <c r="C186">
        <v>83.333330000000004</v>
      </c>
      <c r="D186">
        <v>84</v>
      </c>
      <c r="E186">
        <v>66.666669999999996</v>
      </c>
      <c r="F186">
        <v>16.66667</v>
      </c>
      <c r="G186">
        <v>70</v>
      </c>
      <c r="H186">
        <v>68</v>
      </c>
      <c r="I186">
        <v>70.588239999999999</v>
      </c>
      <c r="J186">
        <v>47.22222</v>
      </c>
    </row>
    <row r="187" spans="3:10" x14ac:dyDescent="0.25">
      <c r="C187">
        <v>88.888890000000004</v>
      </c>
      <c r="D187">
        <v>80.769229999999993</v>
      </c>
      <c r="E187">
        <v>69.44444</v>
      </c>
      <c r="F187">
        <v>22.22222</v>
      </c>
      <c r="G187">
        <v>72.413790000000006</v>
      </c>
      <c r="H187">
        <v>57.692309999999999</v>
      </c>
      <c r="I187">
        <v>77.142859999999999</v>
      </c>
      <c r="J187">
        <v>36.111109999999996</v>
      </c>
    </row>
    <row r="188" spans="3:10" x14ac:dyDescent="0.25">
      <c r="C188">
        <v>79.310339999999997</v>
      </c>
      <c r="D188">
        <v>91.666669999999996</v>
      </c>
      <c r="E188">
        <v>71.428569999999993</v>
      </c>
      <c r="F188">
        <v>20.588239999999999</v>
      </c>
      <c r="G188">
        <v>73.333330000000004</v>
      </c>
      <c r="H188">
        <v>68</v>
      </c>
      <c r="I188">
        <v>80</v>
      </c>
      <c r="J188">
        <v>38.888890000000004</v>
      </c>
    </row>
    <row r="189" spans="3:10" x14ac:dyDescent="0.25">
      <c r="C189">
        <v>89.285709999999995</v>
      </c>
      <c r="D189">
        <v>70.833330000000004</v>
      </c>
      <c r="E189">
        <v>85.294120000000007</v>
      </c>
      <c r="F189">
        <v>26.470590000000001</v>
      </c>
      <c r="G189">
        <v>50</v>
      </c>
      <c r="H189">
        <v>61.538460000000001</v>
      </c>
      <c r="I189">
        <v>73.529409999999999</v>
      </c>
      <c r="J189">
        <v>33.333329999999997</v>
      </c>
    </row>
    <row r="190" spans="3:10" x14ac:dyDescent="0.25">
      <c r="C190">
        <v>92.857140000000001</v>
      </c>
      <c r="D190">
        <v>95.652169999999998</v>
      </c>
      <c r="E190">
        <v>79.411760000000001</v>
      </c>
      <c r="F190">
        <v>38.235289999999999</v>
      </c>
      <c r="G190">
        <v>66.666669999999996</v>
      </c>
      <c r="H190">
        <v>56</v>
      </c>
      <c r="I190">
        <v>85.714290000000005</v>
      </c>
      <c r="J190">
        <v>44.44444</v>
      </c>
    </row>
    <row r="192" spans="3:10" ht="21" x14ac:dyDescent="0.35">
      <c r="C192" s="2" t="s">
        <v>235</v>
      </c>
      <c r="D192" s="13" t="s">
        <v>236</v>
      </c>
      <c r="E192" s="13"/>
      <c r="F192" s="13"/>
      <c r="G192" s="13" t="s">
        <v>237</v>
      </c>
      <c r="H192" s="13"/>
      <c r="I192" s="13"/>
    </row>
    <row r="193" spans="3:9" x14ac:dyDescent="0.25">
      <c r="D193" t="s">
        <v>45</v>
      </c>
      <c r="E193" t="s">
        <v>238</v>
      </c>
      <c r="F193" t="s">
        <v>133</v>
      </c>
      <c r="G193" t="s">
        <v>45</v>
      </c>
      <c r="H193" t="s">
        <v>238</v>
      </c>
      <c r="I193" t="s">
        <v>133</v>
      </c>
    </row>
    <row r="194" spans="3:9" x14ac:dyDescent="0.25">
      <c r="C194">
        <v>4</v>
      </c>
      <c r="D194">
        <v>85.5</v>
      </c>
      <c r="E194">
        <v>2.3180000000000001</v>
      </c>
      <c r="F194">
        <v>6</v>
      </c>
      <c r="G194">
        <v>70.64</v>
      </c>
      <c r="H194">
        <v>3.1869999999999998</v>
      </c>
      <c r="I194">
        <v>12</v>
      </c>
    </row>
    <row r="195" spans="3:9" x14ac:dyDescent="0.25">
      <c r="C195">
        <v>6</v>
      </c>
      <c r="D195">
        <v>80.739999999999995</v>
      </c>
      <c r="E195">
        <v>5.226</v>
      </c>
      <c r="F195">
        <v>6</v>
      </c>
      <c r="G195">
        <v>65.48</v>
      </c>
      <c r="H195">
        <v>3.84</v>
      </c>
      <c r="I195">
        <v>12</v>
      </c>
    </row>
    <row r="196" spans="3:9" x14ac:dyDescent="0.25">
      <c r="C196">
        <v>8</v>
      </c>
      <c r="D196">
        <v>73.150000000000006</v>
      </c>
      <c r="E196">
        <v>3.0950000000000002</v>
      </c>
      <c r="F196">
        <v>6</v>
      </c>
      <c r="G196">
        <v>77.650000000000006</v>
      </c>
      <c r="H196">
        <v>1.7170000000000001</v>
      </c>
      <c r="I196">
        <v>12</v>
      </c>
    </row>
    <row r="197" spans="3:9" x14ac:dyDescent="0.25">
      <c r="C197">
        <v>10</v>
      </c>
      <c r="D197">
        <v>22.09</v>
      </c>
      <c r="E197">
        <v>4.0860000000000003</v>
      </c>
      <c r="F197">
        <v>6</v>
      </c>
      <c r="G197">
        <v>39.770000000000003</v>
      </c>
      <c r="H197">
        <v>1.411</v>
      </c>
      <c r="I197">
        <v>12</v>
      </c>
    </row>
  </sheetData>
  <mergeCells count="20">
    <mergeCell ref="AG24:AG25"/>
    <mergeCell ref="AG22:AG23"/>
    <mergeCell ref="AG20:AG21"/>
    <mergeCell ref="AG18:AG19"/>
    <mergeCell ref="F6:H6"/>
    <mergeCell ref="I6:K6"/>
    <mergeCell ref="N6:S6"/>
    <mergeCell ref="T6:Y6"/>
    <mergeCell ref="F132:H132"/>
    <mergeCell ref="I132:K132"/>
    <mergeCell ref="N132:S132"/>
    <mergeCell ref="T132:Y132"/>
    <mergeCell ref="F48:H48"/>
    <mergeCell ref="I48:K48"/>
    <mergeCell ref="N48:S48"/>
    <mergeCell ref="T48:Y48"/>
    <mergeCell ref="F85:H85"/>
    <mergeCell ref="I85:K85"/>
    <mergeCell ref="N85:S85"/>
    <mergeCell ref="T85:Y8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Q86"/>
  <sheetViews>
    <sheetView topLeftCell="A49" zoomScale="73" zoomScaleNormal="73" workbookViewId="0">
      <selection activeCell="C48" sqref="C48"/>
    </sheetView>
  </sheetViews>
  <sheetFormatPr baseColWidth="10" defaultColWidth="9.140625" defaultRowHeight="15" x14ac:dyDescent="0.25"/>
  <cols>
    <col min="2" max="2" width="21.5703125" customWidth="1"/>
    <col min="3" max="3" width="21.85546875" customWidth="1"/>
    <col min="4" max="4" width="20" customWidth="1"/>
    <col min="5" max="5" width="20.28515625" customWidth="1"/>
    <col min="6" max="6" width="20.140625" customWidth="1"/>
    <col min="7" max="7" width="20.85546875" customWidth="1"/>
    <col min="8" max="8" width="19.140625" customWidth="1"/>
    <col min="9" max="9" width="21.140625" customWidth="1"/>
    <col min="10" max="10" width="19.7109375" customWidth="1"/>
    <col min="65" max="65" width="11.7109375" customWidth="1"/>
    <col min="66" max="66" width="16.28515625" customWidth="1"/>
    <col min="67" max="67" width="11.7109375" customWidth="1"/>
  </cols>
  <sheetData>
    <row r="2" spans="1:69" ht="28.5" x14ac:dyDescent="0.45">
      <c r="B2" s="9" t="s">
        <v>117</v>
      </c>
    </row>
    <row r="4" spans="1:69" ht="21" x14ac:dyDescent="0.35">
      <c r="B4" s="2" t="s">
        <v>248</v>
      </c>
      <c r="N4" s="2"/>
    </row>
    <row r="5" spans="1:69" x14ac:dyDescent="0.25">
      <c r="BQ5" s="8"/>
    </row>
    <row r="6" spans="1:69" ht="21" x14ac:dyDescent="0.35">
      <c r="A6" s="2" t="s">
        <v>44</v>
      </c>
      <c r="B6" s="35" t="s">
        <v>249</v>
      </c>
      <c r="C6" s="35"/>
      <c r="D6" s="35" t="s">
        <v>114</v>
      </c>
      <c r="E6" s="35"/>
      <c r="F6" s="35" t="s">
        <v>115</v>
      </c>
      <c r="G6" s="35"/>
      <c r="H6" s="35" t="s">
        <v>116</v>
      </c>
      <c r="I6" s="35"/>
    </row>
    <row r="7" spans="1:69" ht="21" x14ac:dyDescent="0.35">
      <c r="B7" s="2" t="s">
        <v>250</v>
      </c>
      <c r="C7" s="2" t="s">
        <v>251</v>
      </c>
      <c r="D7" s="2" t="s">
        <v>250</v>
      </c>
      <c r="E7" s="2" t="s">
        <v>251</v>
      </c>
      <c r="F7" s="2" t="s">
        <v>250</v>
      </c>
      <c r="G7" s="2" t="s">
        <v>251</v>
      </c>
      <c r="H7" s="2" t="s">
        <v>250</v>
      </c>
      <c r="I7" s="2" t="s">
        <v>251</v>
      </c>
      <c r="J7" s="2"/>
    </row>
    <row r="8" spans="1:69" x14ac:dyDescent="0.25">
      <c r="B8">
        <v>20</v>
      </c>
      <c r="C8">
        <v>99.666700000000006</v>
      </c>
      <c r="D8">
        <v>96.166659999999993</v>
      </c>
      <c r="E8">
        <v>100</v>
      </c>
      <c r="F8">
        <v>91</v>
      </c>
      <c r="G8">
        <v>88.5</v>
      </c>
      <c r="H8">
        <v>51</v>
      </c>
      <c r="I8">
        <v>93</v>
      </c>
    </row>
    <row r="9" spans="1:69" x14ac:dyDescent="0.25">
      <c r="B9">
        <v>28</v>
      </c>
      <c r="C9">
        <v>98.166700000000006</v>
      </c>
      <c r="D9">
        <v>83.5</v>
      </c>
      <c r="E9">
        <v>99</v>
      </c>
      <c r="F9">
        <v>95.5</v>
      </c>
      <c r="G9">
        <v>98.5</v>
      </c>
      <c r="H9">
        <v>94.3</v>
      </c>
      <c r="I9">
        <v>98.166659999999993</v>
      </c>
    </row>
    <row r="10" spans="1:69" x14ac:dyDescent="0.25">
      <c r="B10">
        <v>81</v>
      </c>
      <c r="C10">
        <v>96.166700000000006</v>
      </c>
      <c r="D10">
        <v>100</v>
      </c>
      <c r="E10">
        <v>100</v>
      </c>
      <c r="F10">
        <v>95.5</v>
      </c>
      <c r="G10">
        <v>99.666669999999996</v>
      </c>
      <c r="H10">
        <v>94.3</v>
      </c>
      <c r="I10">
        <v>96.833340000000007</v>
      </c>
    </row>
    <row r="11" spans="1:69" x14ac:dyDescent="0.25">
      <c r="B11">
        <v>82</v>
      </c>
      <c r="C11">
        <v>95</v>
      </c>
      <c r="D11">
        <v>99.6</v>
      </c>
      <c r="E11">
        <v>92</v>
      </c>
      <c r="F11">
        <v>86.33</v>
      </c>
      <c r="G11">
        <v>98.666669999999996</v>
      </c>
      <c r="H11">
        <v>92</v>
      </c>
      <c r="I11">
        <v>99.166659999999993</v>
      </c>
    </row>
    <row r="12" spans="1:69" x14ac:dyDescent="0.25">
      <c r="B12">
        <v>58</v>
      </c>
      <c r="C12">
        <v>97.5</v>
      </c>
      <c r="D12">
        <v>91.5</v>
      </c>
      <c r="E12">
        <v>99.3</v>
      </c>
      <c r="F12">
        <v>96</v>
      </c>
      <c r="G12">
        <v>94.666669999999996</v>
      </c>
      <c r="H12">
        <v>72.3</v>
      </c>
      <c r="I12">
        <v>97.333340000000007</v>
      </c>
    </row>
    <row r="13" spans="1:69" x14ac:dyDescent="0.25">
      <c r="B13">
        <v>81.5</v>
      </c>
      <c r="C13">
        <v>62.5</v>
      </c>
      <c r="D13">
        <v>94</v>
      </c>
      <c r="E13">
        <v>98.83</v>
      </c>
      <c r="F13">
        <v>84.83</v>
      </c>
      <c r="G13">
        <v>98.5</v>
      </c>
      <c r="H13">
        <v>73.8</v>
      </c>
      <c r="I13">
        <v>97.833340000000007</v>
      </c>
    </row>
    <row r="14" spans="1:69" x14ac:dyDescent="0.25">
      <c r="B14">
        <v>68</v>
      </c>
      <c r="C14">
        <v>74.166700000000006</v>
      </c>
      <c r="D14">
        <v>90</v>
      </c>
      <c r="E14">
        <v>94.16</v>
      </c>
      <c r="F14">
        <v>82</v>
      </c>
      <c r="G14">
        <v>98.666669999999996</v>
      </c>
      <c r="H14">
        <v>78.5</v>
      </c>
      <c r="I14">
        <v>97</v>
      </c>
    </row>
    <row r="15" spans="1:69" x14ac:dyDescent="0.25">
      <c r="B15">
        <v>67.666700000000006</v>
      </c>
      <c r="C15">
        <v>99</v>
      </c>
      <c r="D15">
        <v>96.6</v>
      </c>
      <c r="E15">
        <v>98.33</v>
      </c>
      <c r="F15">
        <v>88.8</v>
      </c>
      <c r="G15">
        <v>98.333330000000004</v>
      </c>
      <c r="H15">
        <v>46</v>
      </c>
      <c r="I15">
        <v>63</v>
      </c>
    </row>
    <row r="16" spans="1:69" x14ac:dyDescent="0.25">
      <c r="B16">
        <v>52</v>
      </c>
      <c r="C16">
        <v>100</v>
      </c>
      <c r="D16">
        <v>90.166659999999993</v>
      </c>
      <c r="E16">
        <v>97.33</v>
      </c>
      <c r="F16">
        <v>93.5</v>
      </c>
      <c r="G16">
        <v>98.833330000000004</v>
      </c>
      <c r="H16">
        <v>96.16</v>
      </c>
      <c r="I16">
        <v>96.5</v>
      </c>
    </row>
    <row r="17" spans="2:9" x14ac:dyDescent="0.25">
      <c r="B17">
        <v>10</v>
      </c>
      <c r="C17">
        <v>98.333299999999994</v>
      </c>
      <c r="D17">
        <v>99.6</v>
      </c>
      <c r="E17">
        <v>60.66</v>
      </c>
      <c r="F17">
        <v>76.7</v>
      </c>
      <c r="G17">
        <v>96.666669999999996</v>
      </c>
      <c r="H17">
        <v>10</v>
      </c>
      <c r="I17">
        <v>98.333340000000007</v>
      </c>
    </row>
    <row r="18" spans="2:9" x14ac:dyDescent="0.25">
      <c r="B18">
        <v>28.833300000000001</v>
      </c>
      <c r="C18">
        <v>98.5</v>
      </c>
      <c r="D18">
        <v>98.33</v>
      </c>
      <c r="E18">
        <v>99</v>
      </c>
      <c r="F18">
        <v>61</v>
      </c>
      <c r="G18">
        <v>97</v>
      </c>
      <c r="H18">
        <v>95.8</v>
      </c>
      <c r="I18">
        <v>84.666659999999993</v>
      </c>
    </row>
    <row r="19" spans="2:9" x14ac:dyDescent="0.25">
      <c r="B19">
        <v>54</v>
      </c>
      <c r="C19">
        <v>90</v>
      </c>
      <c r="D19">
        <v>92.166659999999993</v>
      </c>
      <c r="E19">
        <v>87.16</v>
      </c>
      <c r="F19">
        <v>97.5</v>
      </c>
      <c r="G19">
        <v>98.5</v>
      </c>
      <c r="H19">
        <v>97</v>
      </c>
      <c r="I19">
        <v>33.666670000000003</v>
      </c>
    </row>
    <row r="20" spans="2:9" x14ac:dyDescent="0.25">
      <c r="B20">
        <v>76</v>
      </c>
      <c r="C20">
        <v>33.666699999999999</v>
      </c>
      <c r="D20">
        <v>58.666670000000003</v>
      </c>
      <c r="E20">
        <v>86.33</v>
      </c>
      <c r="G20">
        <v>68</v>
      </c>
      <c r="H20">
        <v>97.5</v>
      </c>
      <c r="I20">
        <v>77.666659999999993</v>
      </c>
    </row>
    <row r="21" spans="2:9" x14ac:dyDescent="0.25">
      <c r="B21">
        <v>91</v>
      </c>
      <c r="C21">
        <v>99.5</v>
      </c>
      <c r="D21">
        <v>99.6</v>
      </c>
      <c r="E21">
        <v>78</v>
      </c>
      <c r="G21">
        <v>98.166669999999996</v>
      </c>
      <c r="H21">
        <v>96.3</v>
      </c>
      <c r="I21">
        <v>95.333340000000007</v>
      </c>
    </row>
    <row r="22" spans="2:9" x14ac:dyDescent="0.25">
      <c r="B22">
        <v>86.833299999999994</v>
      </c>
      <c r="C22">
        <v>57.5</v>
      </c>
      <c r="D22">
        <v>99.166659999999993</v>
      </c>
      <c r="E22">
        <v>98.33</v>
      </c>
      <c r="G22">
        <v>94.166669999999996</v>
      </c>
      <c r="H22">
        <v>88.1</v>
      </c>
      <c r="I22">
        <v>98.166659999999993</v>
      </c>
    </row>
    <row r="23" spans="2:9" x14ac:dyDescent="0.25">
      <c r="B23">
        <v>81.166700000000006</v>
      </c>
      <c r="C23">
        <v>87.5</v>
      </c>
      <c r="D23">
        <v>100</v>
      </c>
      <c r="E23">
        <v>99.83</v>
      </c>
      <c r="G23">
        <v>34.166670000000003</v>
      </c>
      <c r="H23">
        <v>95.6</v>
      </c>
      <c r="I23">
        <v>98.666659999999993</v>
      </c>
    </row>
    <row r="24" spans="2:9" x14ac:dyDescent="0.25">
      <c r="B24">
        <v>47.6</v>
      </c>
      <c r="C24">
        <v>94.166700000000006</v>
      </c>
      <c r="D24">
        <v>93.666659999999993</v>
      </c>
      <c r="E24">
        <v>92.66</v>
      </c>
      <c r="G24">
        <v>98.333330000000004</v>
      </c>
      <c r="H24">
        <v>96.3</v>
      </c>
      <c r="I24">
        <v>98</v>
      </c>
    </row>
    <row r="25" spans="2:9" x14ac:dyDescent="0.25">
      <c r="B25">
        <v>87.666700000000006</v>
      </c>
      <c r="C25">
        <v>61.666699999999999</v>
      </c>
      <c r="D25">
        <v>100</v>
      </c>
      <c r="E25">
        <v>99.66</v>
      </c>
      <c r="G25">
        <v>98</v>
      </c>
      <c r="I25">
        <v>51.5</v>
      </c>
    </row>
    <row r="26" spans="2:9" x14ac:dyDescent="0.25">
      <c r="B26">
        <v>89.166700000000006</v>
      </c>
      <c r="C26">
        <v>97.666700000000006</v>
      </c>
      <c r="D26">
        <v>98.5</v>
      </c>
      <c r="E26">
        <v>91.16</v>
      </c>
      <c r="G26">
        <v>97.333330000000004</v>
      </c>
      <c r="I26">
        <v>93.666659999999993</v>
      </c>
    </row>
    <row r="27" spans="2:9" x14ac:dyDescent="0.25">
      <c r="B27">
        <v>72</v>
      </c>
      <c r="C27">
        <v>65.833299999999994</v>
      </c>
      <c r="D27">
        <v>88.83</v>
      </c>
      <c r="G27">
        <v>99.666669999999996</v>
      </c>
      <c r="I27">
        <v>98.333340000000007</v>
      </c>
    </row>
    <row r="28" spans="2:9" x14ac:dyDescent="0.25">
      <c r="B28">
        <v>22</v>
      </c>
      <c r="C28">
        <v>98</v>
      </c>
      <c r="G28">
        <v>99.166669999999996</v>
      </c>
      <c r="I28">
        <v>93</v>
      </c>
    </row>
    <row r="29" spans="2:9" x14ac:dyDescent="0.25">
      <c r="B29">
        <v>60</v>
      </c>
      <c r="C29">
        <v>97.666700000000006</v>
      </c>
      <c r="G29">
        <v>99.333330000000004</v>
      </c>
      <c r="I29">
        <v>44.166670000000003</v>
      </c>
    </row>
    <row r="30" spans="2:9" x14ac:dyDescent="0.25">
      <c r="B30">
        <v>53</v>
      </c>
      <c r="C30">
        <v>93.333299999999994</v>
      </c>
      <c r="G30">
        <v>95.5</v>
      </c>
      <c r="I30">
        <v>5</v>
      </c>
    </row>
    <row r="31" spans="2:9" x14ac:dyDescent="0.25">
      <c r="B31">
        <v>86</v>
      </c>
      <c r="C31">
        <v>73.333299999999994</v>
      </c>
      <c r="G31">
        <v>99.5</v>
      </c>
      <c r="I31">
        <v>95.833340000000007</v>
      </c>
    </row>
    <row r="32" spans="2:9" x14ac:dyDescent="0.25">
      <c r="B32">
        <v>84</v>
      </c>
      <c r="C32">
        <v>50</v>
      </c>
      <c r="G32">
        <v>95.333330000000004</v>
      </c>
      <c r="I32">
        <v>63.333329999999997</v>
      </c>
    </row>
    <row r="33" spans="2:7" x14ac:dyDescent="0.25">
      <c r="B33">
        <v>7</v>
      </c>
      <c r="C33">
        <v>99.5</v>
      </c>
      <c r="G33">
        <v>99.833330000000004</v>
      </c>
    </row>
    <row r="34" spans="2:7" x14ac:dyDescent="0.25">
      <c r="B34">
        <v>63</v>
      </c>
      <c r="C34">
        <v>95.833299999999994</v>
      </c>
      <c r="G34">
        <v>95</v>
      </c>
    </row>
    <row r="35" spans="2:7" x14ac:dyDescent="0.25">
      <c r="B35">
        <v>45</v>
      </c>
      <c r="C35">
        <v>94.166700000000006</v>
      </c>
      <c r="G35">
        <v>97.5</v>
      </c>
    </row>
    <row r="36" spans="2:7" x14ac:dyDescent="0.25">
      <c r="B36">
        <v>12</v>
      </c>
      <c r="C36">
        <v>95.833299999999994</v>
      </c>
      <c r="G36">
        <v>98.666669999999996</v>
      </c>
    </row>
    <row r="37" spans="2:7" x14ac:dyDescent="0.25">
      <c r="B37">
        <v>85</v>
      </c>
      <c r="C37">
        <v>98.833299999999994</v>
      </c>
      <c r="G37">
        <v>83.333330000000004</v>
      </c>
    </row>
    <row r="38" spans="2:7" x14ac:dyDescent="0.25">
      <c r="B38">
        <v>81</v>
      </c>
      <c r="C38">
        <v>63.333300000000001</v>
      </c>
      <c r="G38">
        <v>96</v>
      </c>
    </row>
    <row r="39" spans="2:7" x14ac:dyDescent="0.25">
      <c r="B39">
        <v>85</v>
      </c>
      <c r="C39">
        <v>99.666700000000006</v>
      </c>
      <c r="G39">
        <v>96.833330000000004</v>
      </c>
    </row>
    <row r="40" spans="2:7" x14ac:dyDescent="0.25">
      <c r="B40">
        <v>72</v>
      </c>
      <c r="C40">
        <v>99.833299999999994</v>
      </c>
    </row>
    <row r="41" spans="2:7" x14ac:dyDescent="0.25">
      <c r="B41">
        <v>67</v>
      </c>
      <c r="C41">
        <v>75</v>
      </c>
    </row>
    <row r="42" spans="2:7" x14ac:dyDescent="0.25">
      <c r="C42">
        <v>99.166700000000006</v>
      </c>
    </row>
    <row r="43" spans="2:7" x14ac:dyDescent="0.25">
      <c r="C43">
        <v>100</v>
      </c>
    </row>
    <row r="48" spans="2:7" ht="28.5" x14ac:dyDescent="0.45">
      <c r="B48" s="9" t="s">
        <v>118</v>
      </c>
    </row>
    <row r="50" spans="2:59" ht="21" x14ac:dyDescent="0.35">
      <c r="B50" s="40" t="s">
        <v>271</v>
      </c>
    </row>
    <row r="52" spans="2:59" ht="21" x14ac:dyDescent="0.35">
      <c r="B52" s="2" t="s">
        <v>44</v>
      </c>
      <c r="C52" s="2" t="s">
        <v>113</v>
      </c>
      <c r="D52" s="2" t="s">
        <v>114</v>
      </c>
      <c r="E52" s="2" t="s">
        <v>115</v>
      </c>
      <c r="F52" s="2" t="s">
        <v>116</v>
      </c>
    </row>
    <row r="53" spans="2:59" x14ac:dyDescent="0.25">
      <c r="C53">
        <v>0.2293577981651376</v>
      </c>
      <c r="D53">
        <v>1.0312840000000001</v>
      </c>
      <c r="E53">
        <v>0.96733469999999999</v>
      </c>
      <c r="F53">
        <v>0.61648800000000004</v>
      </c>
    </row>
    <row r="54" spans="2:59" x14ac:dyDescent="0.25">
      <c r="C54">
        <v>0.32101992600000001</v>
      </c>
      <c r="D54">
        <v>0.8954474</v>
      </c>
      <c r="E54">
        <v>1.0151699999999999</v>
      </c>
      <c r="F54">
        <v>1.1398980000000001</v>
      </c>
    </row>
    <row r="55" spans="2:59" x14ac:dyDescent="0.25">
      <c r="C55">
        <v>0.92866478600000002</v>
      </c>
      <c r="D55">
        <v>1.072392</v>
      </c>
      <c r="E55">
        <v>1.0151699999999999</v>
      </c>
      <c r="F55">
        <v>1.1398980000000001</v>
      </c>
    </row>
    <row r="56" spans="2:59" x14ac:dyDescent="0.25">
      <c r="C56">
        <v>0.94012978400000002</v>
      </c>
      <c r="D56">
        <v>1.068103</v>
      </c>
      <c r="E56">
        <v>0.91769239999999996</v>
      </c>
      <c r="F56">
        <v>1.112096</v>
      </c>
    </row>
    <row r="57" spans="2:59" x14ac:dyDescent="0.25">
      <c r="C57">
        <v>0.66496984699999995</v>
      </c>
      <c r="D57">
        <v>0.98123879999999997</v>
      </c>
      <c r="E57">
        <v>1.0204850000000001</v>
      </c>
      <c r="F57">
        <v>0.87396249999999998</v>
      </c>
    </row>
    <row r="58" spans="2:59" x14ac:dyDescent="0.25">
      <c r="C58">
        <v>0.93439728499999997</v>
      </c>
      <c r="D58">
        <v>1.008049</v>
      </c>
      <c r="E58">
        <v>0.90174730000000003</v>
      </c>
      <c r="F58">
        <v>0.89209439999999995</v>
      </c>
    </row>
    <row r="59" spans="2:59" x14ac:dyDescent="0.25">
      <c r="C59">
        <v>0.77961982100000005</v>
      </c>
      <c r="D59">
        <v>0.96515289999999998</v>
      </c>
      <c r="E59">
        <v>0.87166429999999995</v>
      </c>
      <c r="F59">
        <v>0.94890799999999997</v>
      </c>
    </row>
    <row r="60" spans="2:59" x14ac:dyDescent="0.25">
      <c r="C60">
        <v>0.77579853700000001</v>
      </c>
      <c r="D60">
        <v>1.0359309999999999</v>
      </c>
      <c r="E60">
        <v>0.94394860000000003</v>
      </c>
      <c r="F60">
        <v>0.55604799999999999</v>
      </c>
      <c r="BC60" s="8"/>
    </row>
    <row r="61" spans="2:59" x14ac:dyDescent="0.25">
      <c r="C61">
        <v>0.59617986300000003</v>
      </c>
      <c r="D61">
        <v>0.96694020000000003</v>
      </c>
      <c r="E61">
        <v>0.99390979999999995</v>
      </c>
      <c r="F61">
        <v>1.162382</v>
      </c>
    </row>
    <row r="62" spans="2:59" x14ac:dyDescent="0.25">
      <c r="C62">
        <v>0.114649974</v>
      </c>
      <c r="D62">
        <v>1.068103</v>
      </c>
      <c r="E62">
        <v>0.81532499999999997</v>
      </c>
      <c r="F62">
        <v>0.12088</v>
      </c>
      <c r="N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</row>
    <row r="63" spans="2:59" x14ac:dyDescent="0.25">
      <c r="C63">
        <v>0.33057370800000002</v>
      </c>
      <c r="D63">
        <v>1.0544830000000001</v>
      </c>
      <c r="E63">
        <v>0.64843309999999998</v>
      </c>
      <c r="F63">
        <v>1.158031</v>
      </c>
    </row>
    <row r="64" spans="2:59" x14ac:dyDescent="0.25">
      <c r="C64">
        <v>0.61910985799999996</v>
      </c>
      <c r="D64">
        <v>0.98838800000000004</v>
      </c>
      <c r="E64">
        <v>1.03643</v>
      </c>
      <c r="F64">
        <v>1.172536</v>
      </c>
    </row>
    <row r="65" spans="3:6" x14ac:dyDescent="0.25">
      <c r="C65">
        <v>0.8713398</v>
      </c>
      <c r="D65">
        <v>0.62913669999999999</v>
      </c>
      <c r="F65">
        <v>1.17858</v>
      </c>
    </row>
    <row r="66" spans="3:6" x14ac:dyDescent="0.25">
      <c r="C66">
        <v>1.0433147599999999</v>
      </c>
      <c r="D66">
        <v>1.068103</v>
      </c>
      <c r="F66">
        <v>1.1640740000000001</v>
      </c>
    </row>
    <row r="67" spans="3:6" x14ac:dyDescent="0.25">
      <c r="C67">
        <v>0.995543556</v>
      </c>
      <c r="D67">
        <v>1.063455</v>
      </c>
      <c r="F67">
        <v>1.064953</v>
      </c>
    </row>
    <row r="68" spans="3:6" x14ac:dyDescent="0.25">
      <c r="C68">
        <v>0.93057600100000004</v>
      </c>
      <c r="D68">
        <v>1.072392</v>
      </c>
      <c r="F68">
        <v>1.155613</v>
      </c>
    </row>
    <row r="69" spans="3:6" x14ac:dyDescent="0.25">
      <c r="C69">
        <v>0.54573387399999995</v>
      </c>
      <c r="D69">
        <v>1.0044740000000001</v>
      </c>
      <c r="F69">
        <v>1.1640740000000001</v>
      </c>
    </row>
    <row r="70" spans="3:6" x14ac:dyDescent="0.25">
      <c r="C70">
        <v>1.0050984839999999</v>
      </c>
      <c r="D70">
        <v>1.072392</v>
      </c>
      <c r="F70">
        <v>0.97767749999999998</v>
      </c>
    </row>
    <row r="71" spans="3:6" x14ac:dyDescent="0.25">
      <c r="C71">
        <v>1.02229598</v>
      </c>
      <c r="D71">
        <v>1.056306</v>
      </c>
    </row>
    <row r="72" spans="3:6" x14ac:dyDescent="0.25">
      <c r="C72">
        <v>0.82547981000000004</v>
      </c>
      <c r="D72">
        <v>0.95260599999999995</v>
      </c>
    </row>
    <row r="73" spans="3:6" x14ac:dyDescent="0.25">
      <c r="C73">
        <v>0.25222994199999998</v>
      </c>
    </row>
    <row r="74" spans="3:6" x14ac:dyDescent="0.25">
      <c r="C74">
        <v>0.68789984199999998</v>
      </c>
    </row>
    <row r="75" spans="3:6" x14ac:dyDescent="0.25">
      <c r="C75">
        <v>0.60764485999999995</v>
      </c>
    </row>
    <row r="76" spans="3:6" x14ac:dyDescent="0.25">
      <c r="C76">
        <v>0.98598977300000001</v>
      </c>
    </row>
    <row r="77" spans="3:6" x14ac:dyDescent="0.25">
      <c r="C77">
        <v>0.96305977799999998</v>
      </c>
    </row>
    <row r="78" spans="3:6" x14ac:dyDescent="0.25">
      <c r="C78">
        <v>8.0254982000000002E-2</v>
      </c>
    </row>
    <row r="79" spans="3:6" x14ac:dyDescent="0.25">
      <c r="C79">
        <v>0.72229483400000005</v>
      </c>
    </row>
    <row r="80" spans="3:6" x14ac:dyDescent="0.25">
      <c r="C80">
        <v>0.515924881</v>
      </c>
    </row>
    <row r="81" spans="3:3" x14ac:dyDescent="0.25">
      <c r="C81">
        <v>0.137579968</v>
      </c>
    </row>
    <row r="82" spans="3:3" x14ac:dyDescent="0.25">
      <c r="C82">
        <v>0.97452477599999998</v>
      </c>
    </row>
    <row r="83" spans="3:3" x14ac:dyDescent="0.25">
      <c r="C83">
        <v>0.92866478600000002</v>
      </c>
    </row>
    <row r="84" spans="3:3" x14ac:dyDescent="0.25">
      <c r="C84">
        <v>0.97452477599999998</v>
      </c>
    </row>
    <row r="85" spans="3:3" x14ac:dyDescent="0.25">
      <c r="C85">
        <v>0.82547981000000004</v>
      </c>
    </row>
    <row r="86" spans="3:3" x14ac:dyDescent="0.25">
      <c r="C86">
        <v>0.76815482300000004</v>
      </c>
    </row>
  </sheetData>
  <mergeCells count="4">
    <mergeCell ref="B6:C6"/>
    <mergeCell ref="D6:E6"/>
    <mergeCell ref="F6:G6"/>
    <mergeCell ref="H6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W199"/>
  <sheetViews>
    <sheetView topLeftCell="A223" zoomScale="81" zoomScaleNormal="81" workbookViewId="0">
      <selection activeCell="C133" sqref="C133"/>
    </sheetView>
  </sheetViews>
  <sheetFormatPr baseColWidth="10" defaultColWidth="9.140625" defaultRowHeight="15" x14ac:dyDescent="0.25"/>
  <cols>
    <col min="2" max="2" width="17.5703125" customWidth="1"/>
    <col min="3" max="3" width="17.42578125" customWidth="1"/>
    <col min="4" max="4" width="17.85546875" customWidth="1"/>
    <col min="5" max="5" width="14.140625" customWidth="1"/>
    <col min="6" max="6" width="12.7109375" customWidth="1"/>
    <col min="7" max="7" width="13.28515625" customWidth="1"/>
    <col min="8" max="8" width="11.5703125" customWidth="1"/>
    <col min="9" max="9" width="11.140625" customWidth="1"/>
    <col min="10" max="10" width="12" customWidth="1"/>
    <col min="11" max="12" width="11.140625" customWidth="1"/>
    <col min="13" max="13" width="12.85546875" customWidth="1"/>
    <col min="14" max="14" width="9.5703125" customWidth="1"/>
    <col min="66" max="66" width="18" customWidth="1"/>
    <col min="67" max="67" width="20.28515625" customWidth="1"/>
    <col min="68" max="68" width="21.5703125" customWidth="1"/>
    <col min="69" max="69" width="33.7109375" customWidth="1"/>
  </cols>
  <sheetData>
    <row r="3" spans="1:70" ht="28.5" x14ac:dyDescent="0.45">
      <c r="A3" s="9" t="s">
        <v>112</v>
      </c>
    </row>
    <row r="4" spans="1:70" s="2" customFormat="1" ht="13.9" customHeight="1" x14ac:dyDescent="0.35"/>
    <row r="9" spans="1:70" s="1" customFormat="1" ht="18.75" x14ac:dyDescent="0.3">
      <c r="C9" s="1" t="s">
        <v>99</v>
      </c>
      <c r="E9" s="1">
        <v>41</v>
      </c>
      <c r="F9" s="1">
        <v>42</v>
      </c>
      <c r="G9" s="1">
        <v>43</v>
      </c>
      <c r="H9" s="1">
        <v>44</v>
      </c>
      <c r="I9" s="1">
        <v>45</v>
      </c>
      <c r="J9" s="1">
        <v>46</v>
      </c>
      <c r="K9" s="1">
        <v>47</v>
      </c>
      <c r="L9" s="1">
        <v>48</v>
      </c>
      <c r="M9" s="1">
        <v>49</v>
      </c>
      <c r="N9" s="1">
        <v>50</v>
      </c>
      <c r="O9" s="1">
        <v>51</v>
      </c>
      <c r="P9" s="1">
        <v>52</v>
      </c>
      <c r="Q9" s="1">
        <v>53</v>
      </c>
      <c r="R9" s="1">
        <v>54</v>
      </c>
      <c r="S9" s="1">
        <v>55</v>
      </c>
      <c r="T9" s="1">
        <v>56</v>
      </c>
      <c r="U9" s="1">
        <v>57</v>
      </c>
      <c r="V9" s="1">
        <v>58</v>
      </c>
      <c r="W9" s="1">
        <v>59</v>
      </c>
      <c r="X9" s="1">
        <v>60</v>
      </c>
      <c r="Y9" s="1">
        <v>61</v>
      </c>
      <c r="Z9" s="1">
        <v>62</v>
      </c>
      <c r="AA9" s="1">
        <v>63</v>
      </c>
      <c r="AB9" s="1">
        <v>64</v>
      </c>
      <c r="AC9" s="1">
        <v>65</v>
      </c>
      <c r="AD9" s="1">
        <v>66</v>
      </c>
      <c r="AE9" s="1">
        <v>67</v>
      </c>
      <c r="AF9" s="1">
        <v>68</v>
      </c>
      <c r="AG9" s="1">
        <v>69</v>
      </c>
      <c r="AH9" s="1">
        <v>70</v>
      </c>
      <c r="AI9" s="1">
        <v>71</v>
      </c>
      <c r="AJ9" s="1">
        <v>72</v>
      </c>
      <c r="AK9" s="1">
        <v>73</v>
      </c>
      <c r="AL9" s="1">
        <v>74</v>
      </c>
      <c r="AM9" s="1">
        <v>75</v>
      </c>
      <c r="AN9" s="1">
        <v>76</v>
      </c>
      <c r="AO9" s="1">
        <v>77</v>
      </c>
      <c r="AP9" s="1">
        <v>78</v>
      </c>
      <c r="AQ9" s="1">
        <v>79</v>
      </c>
      <c r="AR9" s="1">
        <v>80</v>
      </c>
      <c r="AS9" s="1">
        <v>81</v>
      </c>
      <c r="AT9" s="1">
        <v>82</v>
      </c>
      <c r="AU9" s="1">
        <v>83</v>
      </c>
      <c r="AV9" s="1">
        <v>84</v>
      </c>
      <c r="AW9" s="1">
        <v>85</v>
      </c>
      <c r="AX9" s="1">
        <v>86</v>
      </c>
      <c r="AY9" s="1">
        <v>87</v>
      </c>
      <c r="AZ9" s="1">
        <v>88</v>
      </c>
      <c r="BA9" s="1">
        <v>89</v>
      </c>
      <c r="BB9" s="1">
        <v>90</v>
      </c>
      <c r="BC9" s="1">
        <v>91</v>
      </c>
      <c r="BD9" s="1">
        <v>92</v>
      </c>
      <c r="BE9" s="1">
        <v>93</v>
      </c>
      <c r="BF9" s="1">
        <v>94</v>
      </c>
      <c r="BG9" s="1">
        <v>95</v>
      </c>
      <c r="BH9" s="1">
        <v>96</v>
      </c>
      <c r="BI9" s="1">
        <v>97</v>
      </c>
      <c r="BJ9" s="1">
        <v>98</v>
      </c>
      <c r="BK9" s="1">
        <v>99</v>
      </c>
      <c r="BM9" s="1" t="s">
        <v>98</v>
      </c>
      <c r="BN9" s="1" t="s">
        <v>63</v>
      </c>
      <c r="BO9" s="1" t="s">
        <v>65</v>
      </c>
      <c r="BP9" s="1" t="s">
        <v>64</v>
      </c>
      <c r="BQ9" s="20" t="s">
        <v>109</v>
      </c>
      <c r="BR9" s="1" t="s">
        <v>110</v>
      </c>
    </row>
    <row r="10" spans="1:70" s="1" customFormat="1" ht="18.75" x14ac:dyDescent="0.3">
      <c r="D10" s="1" t="s">
        <v>98</v>
      </c>
    </row>
    <row r="11" spans="1:70" x14ac:dyDescent="0.25">
      <c r="D11">
        <v>72</v>
      </c>
      <c r="E11" t="s">
        <v>67</v>
      </c>
      <c r="F11" s="10" t="s">
        <v>96</v>
      </c>
      <c r="BM11">
        <v>72</v>
      </c>
      <c r="BN11">
        <v>42</v>
      </c>
      <c r="BO11">
        <v>41</v>
      </c>
      <c r="BP11">
        <v>1</v>
      </c>
    </row>
    <row r="12" spans="1:70" ht="21" x14ac:dyDescent="0.35">
      <c r="D12">
        <v>59</v>
      </c>
      <c r="E12" t="s">
        <v>67</v>
      </c>
      <c r="F12" t="s">
        <v>67</v>
      </c>
      <c r="G12" t="s">
        <v>67</v>
      </c>
      <c r="H12" t="s">
        <v>67</v>
      </c>
      <c r="I12" t="s">
        <v>67</v>
      </c>
      <c r="J12" s="10" t="s">
        <v>96</v>
      </c>
      <c r="AQ12" s="2" t="s">
        <v>105</v>
      </c>
      <c r="AR12" s="2"/>
      <c r="AS12" s="2"/>
      <c r="BM12">
        <v>59</v>
      </c>
      <c r="BN12">
        <v>46</v>
      </c>
      <c r="BO12">
        <v>46</v>
      </c>
      <c r="BP12">
        <v>0</v>
      </c>
    </row>
    <row r="13" spans="1:70" ht="21" x14ac:dyDescent="0.35">
      <c r="D13">
        <v>53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  <c r="J13" t="s">
        <v>67</v>
      </c>
      <c r="K13" s="10" t="s">
        <v>96</v>
      </c>
      <c r="AQ13" s="2" t="s">
        <v>106</v>
      </c>
      <c r="AR13" s="2"/>
      <c r="AS13" s="2"/>
      <c r="BM13">
        <v>53</v>
      </c>
      <c r="BN13">
        <v>47</v>
      </c>
      <c r="BO13">
        <v>47</v>
      </c>
      <c r="BP13">
        <v>0</v>
      </c>
    </row>
    <row r="14" spans="1:70" ht="21" x14ac:dyDescent="0.35">
      <c r="D14">
        <v>73</v>
      </c>
      <c r="E14" t="s">
        <v>67</v>
      </c>
      <c r="F14" t="s">
        <v>67</v>
      </c>
      <c r="G14" t="s">
        <v>67</v>
      </c>
      <c r="H14" t="s">
        <v>67</v>
      </c>
      <c r="I14" t="s">
        <v>67</v>
      </c>
      <c r="J14" t="s">
        <v>67</v>
      </c>
      <c r="K14" t="s">
        <v>67</v>
      </c>
      <c r="L14" t="s">
        <v>67</v>
      </c>
      <c r="M14" t="s">
        <v>67</v>
      </c>
      <c r="N14" s="10" t="s">
        <v>70</v>
      </c>
      <c r="AQ14" s="2" t="s">
        <v>107</v>
      </c>
      <c r="AR14" s="2"/>
      <c r="AS14" s="2"/>
      <c r="BM14">
        <v>73</v>
      </c>
      <c r="BN14">
        <v>50</v>
      </c>
      <c r="BO14">
        <v>50</v>
      </c>
      <c r="BP14">
        <v>0</v>
      </c>
    </row>
    <row r="15" spans="1:70" ht="21" x14ac:dyDescent="0.35">
      <c r="D15">
        <v>76</v>
      </c>
      <c r="E15" t="s">
        <v>67</v>
      </c>
      <c r="F15" t="s">
        <v>67</v>
      </c>
      <c r="G15" t="s">
        <v>67</v>
      </c>
      <c r="H15" t="s">
        <v>67</v>
      </c>
      <c r="I15" t="s">
        <v>67</v>
      </c>
      <c r="J15" t="s">
        <v>67</v>
      </c>
      <c r="K15" t="s">
        <v>67</v>
      </c>
      <c r="L15" t="s">
        <v>67</v>
      </c>
      <c r="M15" t="s">
        <v>68</v>
      </c>
      <c r="N15" t="s">
        <v>69</v>
      </c>
      <c r="O15" s="10" t="s">
        <v>70</v>
      </c>
      <c r="AQ15" s="2" t="s">
        <v>102</v>
      </c>
      <c r="AR15" s="2"/>
      <c r="AS15" s="2"/>
      <c r="BM15">
        <v>76</v>
      </c>
      <c r="BN15">
        <v>51</v>
      </c>
      <c r="BO15">
        <v>50</v>
      </c>
      <c r="BP15">
        <v>1</v>
      </c>
    </row>
    <row r="16" spans="1:70" ht="21" x14ac:dyDescent="0.35">
      <c r="D16">
        <v>42</v>
      </c>
      <c r="E16" t="s">
        <v>67</v>
      </c>
      <c r="F16" t="s">
        <v>67</v>
      </c>
      <c r="G16" t="s">
        <v>67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71</v>
      </c>
      <c r="R16" s="10" t="s">
        <v>70</v>
      </c>
      <c r="AQ16" s="2" t="s">
        <v>100</v>
      </c>
      <c r="AR16" s="2"/>
      <c r="AS16" s="2"/>
      <c r="BM16">
        <v>42</v>
      </c>
      <c r="BN16">
        <v>54</v>
      </c>
      <c r="BO16">
        <v>53</v>
      </c>
      <c r="BP16">
        <v>1</v>
      </c>
    </row>
    <row r="17" spans="4:70" ht="21" x14ac:dyDescent="0.35">
      <c r="D17">
        <v>52</v>
      </c>
      <c r="E17" t="s">
        <v>67</v>
      </c>
      <c r="F17" t="s">
        <v>67</v>
      </c>
      <c r="G17" t="s">
        <v>67</v>
      </c>
      <c r="H17" t="s">
        <v>67</v>
      </c>
      <c r="I17" t="s">
        <v>67</v>
      </c>
      <c r="J17" t="s">
        <v>67</v>
      </c>
      <c r="K17" t="s">
        <v>72</v>
      </c>
      <c r="L17" t="s">
        <v>67</v>
      </c>
      <c r="M17" t="s">
        <v>73</v>
      </c>
      <c r="N17" t="s">
        <v>67</v>
      </c>
      <c r="O17" t="s">
        <v>67</v>
      </c>
      <c r="P17" t="s">
        <v>67</v>
      </c>
      <c r="Q17" t="s">
        <v>68</v>
      </c>
      <c r="R17" t="s">
        <v>74</v>
      </c>
      <c r="S17" t="s">
        <v>75</v>
      </c>
      <c r="T17" t="s">
        <v>76</v>
      </c>
      <c r="U17" t="s">
        <v>74</v>
      </c>
      <c r="V17" s="10" t="s">
        <v>70</v>
      </c>
      <c r="AQ17" s="2" t="s">
        <v>101</v>
      </c>
      <c r="AR17" s="2"/>
      <c r="AS17" s="2"/>
      <c r="BM17">
        <v>52</v>
      </c>
      <c r="BN17">
        <v>58</v>
      </c>
      <c r="BO17">
        <v>54</v>
      </c>
      <c r="BP17">
        <v>4</v>
      </c>
    </row>
    <row r="18" spans="4:70" ht="21" x14ac:dyDescent="0.35">
      <c r="D18">
        <v>18</v>
      </c>
      <c r="E18" t="s">
        <v>67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73</v>
      </c>
      <c r="U18" t="s">
        <v>77</v>
      </c>
      <c r="V18" t="s">
        <v>67</v>
      </c>
      <c r="W18" s="10" t="s">
        <v>70</v>
      </c>
      <c r="AQ18" s="2" t="s">
        <v>103</v>
      </c>
      <c r="AR18" s="2"/>
      <c r="AS18" s="2"/>
      <c r="BM18">
        <v>18</v>
      </c>
      <c r="BN18">
        <v>59</v>
      </c>
      <c r="BO18">
        <v>59</v>
      </c>
      <c r="BP18">
        <v>0</v>
      </c>
    </row>
    <row r="19" spans="4:70" ht="21" x14ac:dyDescent="0.35">
      <c r="D19">
        <v>49</v>
      </c>
      <c r="E19" t="s">
        <v>67</v>
      </c>
      <c r="F19" t="s">
        <v>67</v>
      </c>
      <c r="G19" t="s">
        <v>67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  <c r="O19" t="s">
        <v>77</v>
      </c>
      <c r="P19" t="s">
        <v>67</v>
      </c>
      <c r="Q19" t="s">
        <v>67</v>
      </c>
      <c r="R19" t="s">
        <v>77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s="10" t="s">
        <v>96</v>
      </c>
      <c r="AQ19" s="2" t="s">
        <v>104</v>
      </c>
      <c r="AR19" s="2"/>
      <c r="AS19" s="2"/>
      <c r="BM19">
        <v>49</v>
      </c>
      <c r="BN19">
        <v>61</v>
      </c>
      <c r="BO19">
        <v>61</v>
      </c>
      <c r="BP19">
        <v>0</v>
      </c>
    </row>
    <row r="20" spans="4:70" ht="21" x14ac:dyDescent="0.35">
      <c r="D20">
        <v>39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  <c r="K20" t="s">
        <v>67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Q20" t="s">
        <v>67</v>
      </c>
      <c r="R20" t="s">
        <v>67</v>
      </c>
      <c r="S20" t="s">
        <v>67</v>
      </c>
      <c r="T20" t="s">
        <v>77</v>
      </c>
      <c r="U20" t="s">
        <v>73</v>
      </c>
      <c r="V20" t="s">
        <v>77</v>
      </c>
      <c r="W20" t="s">
        <v>67</v>
      </c>
      <c r="X20" t="s">
        <v>67</v>
      </c>
      <c r="Y20" t="s">
        <v>77</v>
      </c>
      <c r="Z20" t="s">
        <v>74</v>
      </c>
      <c r="AA20" s="10" t="s">
        <v>96</v>
      </c>
      <c r="AQ20" s="2" t="s">
        <v>111</v>
      </c>
      <c r="AR20" s="2"/>
      <c r="AS20" s="2"/>
      <c r="BM20">
        <v>39</v>
      </c>
      <c r="BN20">
        <v>63</v>
      </c>
      <c r="BO20">
        <v>63</v>
      </c>
      <c r="BP20">
        <v>1</v>
      </c>
    </row>
    <row r="21" spans="4:70" ht="21" x14ac:dyDescent="0.35">
      <c r="D21">
        <v>12</v>
      </c>
      <c r="E21" t="s">
        <v>67</v>
      </c>
      <c r="F21" t="s">
        <v>67</v>
      </c>
      <c r="G21" t="s">
        <v>67</v>
      </c>
      <c r="H21" t="s">
        <v>67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  <c r="Q21" t="s">
        <v>67</v>
      </c>
      <c r="R21" t="s">
        <v>67</v>
      </c>
      <c r="S21" t="s">
        <v>67</v>
      </c>
      <c r="T21" t="s">
        <v>67</v>
      </c>
      <c r="U21" t="s">
        <v>67</v>
      </c>
      <c r="V21" t="s">
        <v>78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  <c r="AC21" s="10" t="s">
        <v>70</v>
      </c>
      <c r="AQ21" s="21" t="s">
        <v>66</v>
      </c>
      <c r="AR21" s="21"/>
      <c r="AS21" s="21"/>
      <c r="BM21">
        <v>12</v>
      </c>
      <c r="BN21">
        <v>65</v>
      </c>
      <c r="BO21">
        <v>65</v>
      </c>
      <c r="BP21">
        <v>0</v>
      </c>
    </row>
    <row r="22" spans="4:70" ht="21" x14ac:dyDescent="0.35">
      <c r="D22">
        <v>48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67</v>
      </c>
      <c r="K22" t="s">
        <v>67</v>
      </c>
      <c r="L22" t="s">
        <v>67</v>
      </c>
      <c r="M22" t="s">
        <v>68</v>
      </c>
      <c r="N22" t="s">
        <v>67</v>
      </c>
      <c r="O22" t="s">
        <v>67</v>
      </c>
      <c r="P22" t="s">
        <v>67</v>
      </c>
      <c r="Q22" t="s">
        <v>73</v>
      </c>
      <c r="R22" t="s">
        <v>77</v>
      </c>
      <c r="S22" t="s">
        <v>67</v>
      </c>
      <c r="T22" t="s">
        <v>67</v>
      </c>
      <c r="U22" t="s">
        <v>77</v>
      </c>
      <c r="V22" t="s">
        <v>67</v>
      </c>
      <c r="W22" t="s">
        <v>67</v>
      </c>
      <c r="X22" t="s">
        <v>67</v>
      </c>
      <c r="Y22" t="s">
        <v>67</v>
      </c>
      <c r="Z22" s="11" t="s">
        <v>67</v>
      </c>
      <c r="AA22" t="s">
        <v>67</v>
      </c>
      <c r="AB22" t="s">
        <v>67</v>
      </c>
      <c r="AC22" t="s">
        <v>67</v>
      </c>
      <c r="AD22" s="10" t="s">
        <v>97</v>
      </c>
      <c r="AQ22" s="7" t="s">
        <v>108</v>
      </c>
      <c r="AR22" s="2"/>
      <c r="AS22" s="2"/>
      <c r="BM22">
        <v>48</v>
      </c>
      <c r="BN22">
        <v>66</v>
      </c>
      <c r="BO22">
        <v>66</v>
      </c>
      <c r="BP22">
        <v>0</v>
      </c>
      <c r="BQ22">
        <v>62</v>
      </c>
      <c r="BR22">
        <v>4</v>
      </c>
    </row>
    <row r="23" spans="4:70" x14ac:dyDescent="0.25">
      <c r="D23">
        <v>27</v>
      </c>
      <c r="E23" t="s">
        <v>67</v>
      </c>
      <c r="F23" t="s">
        <v>67</v>
      </c>
      <c r="G23" t="s">
        <v>67</v>
      </c>
      <c r="H23" t="s">
        <v>67</v>
      </c>
      <c r="I23" t="s">
        <v>67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67</v>
      </c>
      <c r="Q23" t="s">
        <v>67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68</v>
      </c>
      <c r="AC23" t="s">
        <v>72</v>
      </c>
      <c r="AD23" t="s">
        <v>79</v>
      </c>
      <c r="AE23" t="s">
        <v>79</v>
      </c>
      <c r="AF23" s="10" t="s">
        <v>96</v>
      </c>
      <c r="BM23">
        <v>27</v>
      </c>
      <c r="BN23">
        <v>68</v>
      </c>
      <c r="BO23">
        <v>68</v>
      </c>
      <c r="BP23">
        <v>0</v>
      </c>
    </row>
    <row r="24" spans="4:70" x14ac:dyDescent="0.25">
      <c r="D24">
        <v>13</v>
      </c>
      <c r="E24" t="s">
        <v>67</v>
      </c>
      <c r="F24" t="s">
        <v>67</v>
      </c>
      <c r="G24" t="s">
        <v>67</v>
      </c>
      <c r="H24" t="s">
        <v>67</v>
      </c>
      <c r="I24" t="s">
        <v>67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67</v>
      </c>
      <c r="Q24" t="s">
        <v>67</v>
      </c>
      <c r="R24" t="s">
        <v>67</v>
      </c>
      <c r="S24" t="s">
        <v>67</v>
      </c>
      <c r="T24" t="s">
        <v>77</v>
      </c>
      <c r="U24" t="s">
        <v>77</v>
      </c>
      <c r="V24" t="s">
        <v>78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s="10" t="s">
        <v>70</v>
      </c>
      <c r="BM24">
        <v>13</v>
      </c>
      <c r="BN24">
        <v>68</v>
      </c>
      <c r="BO24">
        <v>68</v>
      </c>
      <c r="BP24">
        <v>0</v>
      </c>
    </row>
    <row r="25" spans="4:70" x14ac:dyDescent="0.25">
      <c r="D25">
        <v>54</v>
      </c>
      <c r="E25" t="s">
        <v>67</v>
      </c>
      <c r="F25" t="s">
        <v>67</v>
      </c>
      <c r="G25" t="s">
        <v>67</v>
      </c>
      <c r="H25" t="s">
        <v>67</v>
      </c>
      <c r="I25" t="s">
        <v>67</v>
      </c>
      <c r="J25" t="s">
        <v>67</v>
      </c>
      <c r="K25" t="s">
        <v>67</v>
      </c>
      <c r="L25" t="s">
        <v>67</v>
      </c>
      <c r="M25" t="s">
        <v>68</v>
      </c>
      <c r="N25" t="s">
        <v>77</v>
      </c>
      <c r="O25" t="s">
        <v>67</v>
      </c>
      <c r="P25" t="s">
        <v>77</v>
      </c>
      <c r="Q25" t="s">
        <v>67</v>
      </c>
      <c r="R25" t="s">
        <v>68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77</v>
      </c>
      <c r="Z25" t="s">
        <v>77</v>
      </c>
      <c r="AA25" t="s">
        <v>73</v>
      </c>
      <c r="AB25" t="s">
        <v>73</v>
      </c>
      <c r="AC25" t="s">
        <v>67</v>
      </c>
      <c r="AD25" t="s">
        <v>67</v>
      </c>
      <c r="AE25" t="s">
        <v>67</v>
      </c>
      <c r="AF25" t="s">
        <v>67</v>
      </c>
      <c r="AG25" t="s">
        <v>80</v>
      </c>
      <c r="AH25" s="10" t="s">
        <v>70</v>
      </c>
      <c r="BM25">
        <v>54</v>
      </c>
      <c r="BN25">
        <v>70</v>
      </c>
      <c r="BO25">
        <v>70</v>
      </c>
      <c r="BP25">
        <v>0</v>
      </c>
    </row>
    <row r="26" spans="4:70" x14ac:dyDescent="0.25">
      <c r="D26">
        <v>81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67</v>
      </c>
      <c r="K26" t="s">
        <v>67</v>
      </c>
      <c r="L26" t="s">
        <v>67</v>
      </c>
      <c r="M26" t="s">
        <v>67</v>
      </c>
      <c r="N26" t="s">
        <v>67</v>
      </c>
      <c r="O26" t="s">
        <v>67</v>
      </c>
      <c r="P26" t="s">
        <v>67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s="11" t="s">
        <v>67</v>
      </c>
      <c r="AA26" t="s">
        <v>67</v>
      </c>
      <c r="AB26" t="s">
        <v>67</v>
      </c>
      <c r="AC26" t="s">
        <v>67</v>
      </c>
      <c r="AD26" t="s">
        <v>81</v>
      </c>
      <c r="AE26" t="s">
        <v>82</v>
      </c>
      <c r="AF26" t="s">
        <v>83</v>
      </c>
      <c r="AG26" t="s">
        <v>76</v>
      </c>
      <c r="AH26" s="10" t="s">
        <v>70</v>
      </c>
      <c r="BM26">
        <v>81</v>
      </c>
      <c r="BN26">
        <v>70</v>
      </c>
      <c r="BO26">
        <v>66</v>
      </c>
      <c r="BP26">
        <v>4</v>
      </c>
      <c r="BQ26">
        <v>62</v>
      </c>
      <c r="BR26">
        <v>8</v>
      </c>
    </row>
    <row r="27" spans="4:70" x14ac:dyDescent="0.25">
      <c r="D27">
        <v>80</v>
      </c>
      <c r="E27" t="s">
        <v>67</v>
      </c>
      <c r="F27" t="s">
        <v>67</v>
      </c>
      <c r="G27" t="s">
        <v>67</v>
      </c>
      <c r="H27" t="s">
        <v>67</v>
      </c>
      <c r="I27" t="s">
        <v>67</v>
      </c>
      <c r="J27" t="s">
        <v>67</v>
      </c>
      <c r="K27" t="s">
        <v>67</v>
      </c>
      <c r="L27" t="s">
        <v>67</v>
      </c>
      <c r="M27" t="s">
        <v>68</v>
      </c>
      <c r="N27" t="s">
        <v>67</v>
      </c>
      <c r="O27" t="s">
        <v>67</v>
      </c>
      <c r="P27" t="s">
        <v>67</v>
      </c>
      <c r="Q27" t="s">
        <v>67</v>
      </c>
      <c r="R27" t="s">
        <v>77</v>
      </c>
      <c r="S27" t="s">
        <v>67</v>
      </c>
      <c r="T27" t="s">
        <v>67</v>
      </c>
      <c r="U27" t="s">
        <v>77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82</v>
      </c>
      <c r="AK27" s="10" t="s">
        <v>70</v>
      </c>
      <c r="BM27">
        <v>80</v>
      </c>
      <c r="BN27">
        <v>73</v>
      </c>
      <c r="BO27">
        <v>72</v>
      </c>
      <c r="BP27">
        <v>1</v>
      </c>
    </row>
    <row r="28" spans="4:70" x14ac:dyDescent="0.25">
      <c r="D28">
        <v>50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67</v>
      </c>
      <c r="K28" t="s">
        <v>67</v>
      </c>
      <c r="L28" t="s">
        <v>67</v>
      </c>
      <c r="M28" t="s">
        <v>77</v>
      </c>
      <c r="N28" t="s">
        <v>77</v>
      </c>
      <c r="O28" t="s">
        <v>77</v>
      </c>
      <c r="P28" t="s">
        <v>67</v>
      </c>
      <c r="Q28" t="s">
        <v>73</v>
      </c>
      <c r="R28" t="s">
        <v>77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84</v>
      </c>
      <c r="AG28" t="s">
        <v>84</v>
      </c>
      <c r="AH28" t="s">
        <v>84</v>
      </c>
      <c r="AI28" t="s">
        <v>84</v>
      </c>
      <c r="AJ28" t="s">
        <v>84</v>
      </c>
      <c r="AK28" s="10" t="s">
        <v>70</v>
      </c>
      <c r="BM28">
        <v>50</v>
      </c>
      <c r="BN28">
        <v>73</v>
      </c>
      <c r="BO28">
        <v>72</v>
      </c>
      <c r="BP28">
        <v>1</v>
      </c>
    </row>
    <row r="29" spans="4:70" x14ac:dyDescent="0.25">
      <c r="D29">
        <v>47</v>
      </c>
      <c r="E29" t="s">
        <v>67</v>
      </c>
      <c r="F29" t="s">
        <v>67</v>
      </c>
      <c r="G29" t="s">
        <v>67</v>
      </c>
      <c r="H29" t="s">
        <v>67</v>
      </c>
      <c r="I29" t="s">
        <v>67</v>
      </c>
      <c r="J29" t="s">
        <v>67</v>
      </c>
      <c r="K29" t="s">
        <v>67</v>
      </c>
      <c r="L29" t="s">
        <v>67</v>
      </c>
      <c r="M29" t="s">
        <v>77</v>
      </c>
      <c r="N29" t="s">
        <v>77</v>
      </c>
      <c r="O29" t="s">
        <v>67</v>
      </c>
      <c r="P29" t="s">
        <v>67</v>
      </c>
      <c r="Q29" t="s">
        <v>73</v>
      </c>
      <c r="R29" t="s">
        <v>77</v>
      </c>
      <c r="S29" t="s">
        <v>67</v>
      </c>
      <c r="T29" t="s">
        <v>67</v>
      </c>
      <c r="U29" t="s">
        <v>77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79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82</v>
      </c>
      <c r="AK29" s="10" t="s">
        <v>70</v>
      </c>
      <c r="BM29">
        <v>47</v>
      </c>
      <c r="BN29">
        <v>73</v>
      </c>
      <c r="BO29">
        <v>72</v>
      </c>
      <c r="BP29">
        <v>1</v>
      </c>
    </row>
    <row r="30" spans="4:70" x14ac:dyDescent="0.25">
      <c r="D30">
        <v>19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 t="s">
        <v>67</v>
      </c>
      <c r="K30" t="s">
        <v>67</v>
      </c>
      <c r="L30" t="s">
        <v>67</v>
      </c>
      <c r="M30" t="s">
        <v>67</v>
      </c>
      <c r="N30" t="s">
        <v>67</v>
      </c>
      <c r="O30" t="s">
        <v>67</v>
      </c>
      <c r="P30" t="s">
        <v>67</v>
      </c>
      <c r="Q30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77</v>
      </c>
      <c r="AC30" t="s">
        <v>77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s="11" t="s">
        <v>85</v>
      </c>
      <c r="AJ30" t="s">
        <v>85</v>
      </c>
      <c r="AK30" s="10" t="s">
        <v>70</v>
      </c>
      <c r="BM30">
        <v>19</v>
      </c>
      <c r="BN30">
        <v>73</v>
      </c>
      <c r="BO30">
        <v>71</v>
      </c>
      <c r="BP30">
        <v>2</v>
      </c>
      <c r="BQ30">
        <v>71</v>
      </c>
      <c r="BR30">
        <v>3</v>
      </c>
    </row>
    <row r="31" spans="4:70" x14ac:dyDescent="0.25">
      <c r="D31">
        <v>30</v>
      </c>
      <c r="E31" t="s">
        <v>67</v>
      </c>
      <c r="F31" t="s">
        <v>67</v>
      </c>
      <c r="G31" t="s">
        <v>67</v>
      </c>
      <c r="H31" t="s">
        <v>67</v>
      </c>
      <c r="I31" t="s">
        <v>67</v>
      </c>
      <c r="J31" t="s">
        <v>67</v>
      </c>
      <c r="K31" t="s">
        <v>67</v>
      </c>
      <c r="L31" t="s">
        <v>67</v>
      </c>
      <c r="M31" t="s">
        <v>67</v>
      </c>
      <c r="N31" t="s">
        <v>86</v>
      </c>
      <c r="O31" t="s">
        <v>67</v>
      </c>
      <c r="P31" t="s">
        <v>67</v>
      </c>
      <c r="Q31" t="s">
        <v>67</v>
      </c>
      <c r="R31" t="s">
        <v>67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s="11" t="s">
        <v>67</v>
      </c>
      <c r="AH31" t="s">
        <v>67</v>
      </c>
      <c r="AI31" t="s">
        <v>67</v>
      </c>
      <c r="AJ31" t="s">
        <v>67</v>
      </c>
      <c r="AK31" t="s">
        <v>74</v>
      </c>
      <c r="AL31" s="10" t="s">
        <v>96</v>
      </c>
      <c r="BM31">
        <v>30</v>
      </c>
      <c r="BN31">
        <v>74</v>
      </c>
      <c r="BO31">
        <v>73</v>
      </c>
      <c r="BP31">
        <v>1</v>
      </c>
      <c r="BQ31">
        <v>69</v>
      </c>
      <c r="BR31">
        <v>5</v>
      </c>
    </row>
    <row r="32" spans="4:70" x14ac:dyDescent="0.25">
      <c r="D32">
        <v>74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  <c r="J32" t="s">
        <v>67</v>
      </c>
      <c r="K32" t="s">
        <v>67</v>
      </c>
      <c r="L32" t="s">
        <v>67</v>
      </c>
      <c r="M32" t="s">
        <v>67</v>
      </c>
      <c r="N32" t="s">
        <v>77</v>
      </c>
      <c r="O32" t="s">
        <v>67</v>
      </c>
      <c r="P32" t="s">
        <v>67</v>
      </c>
      <c r="Q32" t="s">
        <v>67</v>
      </c>
      <c r="R32" t="s">
        <v>77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77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87</v>
      </c>
      <c r="AF32" t="s">
        <v>79</v>
      </c>
      <c r="AG32" t="s">
        <v>79</v>
      </c>
      <c r="AH32" t="s">
        <v>67</v>
      </c>
      <c r="AI32" t="s">
        <v>67</v>
      </c>
      <c r="AJ32" t="s">
        <v>83</v>
      </c>
      <c r="AK32" t="s">
        <v>83</v>
      </c>
      <c r="AL32" s="10" t="s">
        <v>70</v>
      </c>
      <c r="BM32">
        <v>74</v>
      </c>
      <c r="BN32">
        <v>74</v>
      </c>
      <c r="BO32">
        <v>70</v>
      </c>
      <c r="BP32">
        <v>2</v>
      </c>
    </row>
    <row r="33" spans="4:70" x14ac:dyDescent="0.25">
      <c r="D33">
        <v>56</v>
      </c>
      <c r="E33" t="s">
        <v>67</v>
      </c>
      <c r="F33" t="s">
        <v>67</v>
      </c>
      <c r="G33" t="s">
        <v>67</v>
      </c>
      <c r="H33" t="s">
        <v>67</v>
      </c>
      <c r="I33" t="s">
        <v>67</v>
      </c>
      <c r="J33" t="s">
        <v>77</v>
      </c>
      <c r="K33" t="s">
        <v>77</v>
      </c>
      <c r="L33" t="s">
        <v>77</v>
      </c>
      <c r="M33" t="s">
        <v>77</v>
      </c>
      <c r="N33" t="s">
        <v>73</v>
      </c>
      <c r="O33" t="s">
        <v>77</v>
      </c>
      <c r="P33" t="s">
        <v>67</v>
      </c>
      <c r="Q33" t="s">
        <v>67</v>
      </c>
      <c r="R33" t="s">
        <v>77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82</v>
      </c>
      <c r="AJ33" t="s">
        <v>76</v>
      </c>
      <c r="AK33" t="s">
        <v>76</v>
      </c>
      <c r="AL33" s="10" t="s">
        <v>70</v>
      </c>
      <c r="BM33">
        <v>56</v>
      </c>
      <c r="BN33">
        <v>74</v>
      </c>
      <c r="BO33">
        <v>71</v>
      </c>
      <c r="BP33">
        <v>3</v>
      </c>
    </row>
    <row r="34" spans="4:70" x14ac:dyDescent="0.25">
      <c r="D34">
        <v>22</v>
      </c>
      <c r="E34" t="s">
        <v>67</v>
      </c>
      <c r="F34" t="s">
        <v>67</v>
      </c>
      <c r="G34" t="s">
        <v>67</v>
      </c>
      <c r="H34" t="s">
        <v>67</v>
      </c>
      <c r="I34" t="s">
        <v>67</v>
      </c>
      <c r="J34" t="s">
        <v>67</v>
      </c>
      <c r="K34" t="s">
        <v>67</v>
      </c>
      <c r="L34" t="s">
        <v>67</v>
      </c>
      <c r="M34" t="s">
        <v>68</v>
      </c>
      <c r="N34" t="s">
        <v>68</v>
      </c>
      <c r="O34" t="s">
        <v>77</v>
      </c>
      <c r="P34" t="s">
        <v>73</v>
      </c>
      <c r="Q34" t="s">
        <v>67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s="10" t="s">
        <v>70</v>
      </c>
      <c r="BM34">
        <v>22</v>
      </c>
      <c r="BN34">
        <v>75</v>
      </c>
      <c r="BO34">
        <v>75</v>
      </c>
      <c r="BP34">
        <v>0</v>
      </c>
    </row>
    <row r="35" spans="4:70" x14ac:dyDescent="0.25">
      <c r="D35">
        <v>17</v>
      </c>
      <c r="E35" t="s">
        <v>67</v>
      </c>
      <c r="F35" t="s">
        <v>67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67</v>
      </c>
      <c r="Q35" t="s">
        <v>67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s="11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88</v>
      </c>
      <c r="AM35" s="10" t="s">
        <v>70</v>
      </c>
      <c r="BM35">
        <v>17</v>
      </c>
      <c r="BN35">
        <v>75</v>
      </c>
      <c r="BO35">
        <v>74</v>
      </c>
      <c r="BP35">
        <v>1</v>
      </c>
      <c r="BQ35">
        <v>68</v>
      </c>
      <c r="BR35">
        <v>7</v>
      </c>
    </row>
    <row r="36" spans="4:70" x14ac:dyDescent="0.25">
      <c r="D36">
        <v>71</v>
      </c>
      <c r="E36" t="s">
        <v>67</v>
      </c>
      <c r="F36" t="s">
        <v>67</v>
      </c>
      <c r="G36" t="s">
        <v>67</v>
      </c>
      <c r="H36" t="s">
        <v>67</v>
      </c>
      <c r="I36" t="s">
        <v>67</v>
      </c>
      <c r="J36" t="s">
        <v>67</v>
      </c>
      <c r="K36" t="s">
        <v>67</v>
      </c>
      <c r="L36" t="s">
        <v>67</v>
      </c>
      <c r="M36" t="s">
        <v>67</v>
      </c>
      <c r="N36" t="s">
        <v>67</v>
      </c>
      <c r="O36" t="s">
        <v>67</v>
      </c>
      <c r="P36" t="s">
        <v>77</v>
      </c>
      <c r="Q36" t="s">
        <v>67</v>
      </c>
      <c r="R36" t="s">
        <v>67</v>
      </c>
      <c r="S36" t="s">
        <v>67</v>
      </c>
      <c r="T36" t="s">
        <v>67</v>
      </c>
      <c r="U36" t="s">
        <v>77</v>
      </c>
      <c r="V36" t="s">
        <v>77</v>
      </c>
      <c r="W36" t="s">
        <v>67</v>
      </c>
      <c r="X36" t="s">
        <v>67</v>
      </c>
      <c r="Y36" t="s">
        <v>77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79</v>
      </c>
      <c r="AG36" t="s">
        <v>79</v>
      </c>
      <c r="AH36" t="s">
        <v>67</v>
      </c>
      <c r="AI36" t="s">
        <v>67</v>
      </c>
      <c r="AJ36" t="s">
        <v>67</v>
      </c>
      <c r="AK36" t="s">
        <v>67</v>
      </c>
      <c r="AL36" t="s">
        <v>82</v>
      </c>
      <c r="AM36" s="10" t="s">
        <v>70</v>
      </c>
      <c r="BM36">
        <v>71</v>
      </c>
      <c r="BN36">
        <v>75</v>
      </c>
      <c r="BO36">
        <v>74</v>
      </c>
      <c r="BP36">
        <v>1</v>
      </c>
    </row>
    <row r="37" spans="4:70" x14ac:dyDescent="0.25">
      <c r="D37">
        <v>45</v>
      </c>
      <c r="E37" t="s">
        <v>67</v>
      </c>
      <c r="F37" t="s">
        <v>67</v>
      </c>
      <c r="G37" t="s">
        <v>67</v>
      </c>
      <c r="H37" t="s">
        <v>67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73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86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74</v>
      </c>
      <c r="AM37" s="10" t="s">
        <v>70</v>
      </c>
      <c r="BM37">
        <v>45</v>
      </c>
      <c r="BN37">
        <v>75</v>
      </c>
      <c r="BO37">
        <v>74</v>
      </c>
      <c r="BP37">
        <v>1</v>
      </c>
    </row>
    <row r="38" spans="4:70" x14ac:dyDescent="0.25">
      <c r="D38">
        <v>3</v>
      </c>
      <c r="E38" t="s">
        <v>77</v>
      </c>
      <c r="F38" t="s">
        <v>67</v>
      </c>
      <c r="G38" t="s">
        <v>67</v>
      </c>
      <c r="H38" t="s">
        <v>67</v>
      </c>
      <c r="I38" t="s">
        <v>67</v>
      </c>
      <c r="J38" t="s">
        <v>67</v>
      </c>
      <c r="K38" t="s">
        <v>67</v>
      </c>
      <c r="L38" t="s">
        <v>67</v>
      </c>
      <c r="M38" t="s">
        <v>67</v>
      </c>
      <c r="N38" t="s">
        <v>67</v>
      </c>
      <c r="O38" t="s">
        <v>67</v>
      </c>
      <c r="P38" t="s">
        <v>67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s="11" t="s">
        <v>67</v>
      </c>
      <c r="AG38" t="s">
        <v>67</v>
      </c>
      <c r="AH38" t="s">
        <v>67</v>
      </c>
      <c r="AI38" t="s">
        <v>74</v>
      </c>
      <c r="AJ38" t="s">
        <v>74</v>
      </c>
      <c r="AK38" t="s">
        <v>74</v>
      </c>
      <c r="AL38" t="s">
        <v>89</v>
      </c>
      <c r="AM38" s="10" t="s">
        <v>70</v>
      </c>
      <c r="BM38">
        <v>3</v>
      </c>
      <c r="BN38">
        <v>75</v>
      </c>
      <c r="BO38">
        <v>71</v>
      </c>
      <c r="BP38">
        <v>4</v>
      </c>
      <c r="BQ38">
        <v>68</v>
      </c>
      <c r="BR38">
        <v>7</v>
      </c>
    </row>
    <row r="39" spans="4:70" x14ac:dyDescent="0.25">
      <c r="D39">
        <v>21</v>
      </c>
      <c r="E39" t="s">
        <v>67</v>
      </c>
      <c r="F39" t="s">
        <v>67</v>
      </c>
      <c r="G39" t="s">
        <v>67</v>
      </c>
      <c r="H39" t="s">
        <v>67</v>
      </c>
      <c r="I39" t="s">
        <v>67</v>
      </c>
      <c r="J39" t="s">
        <v>67</v>
      </c>
      <c r="K39" t="s">
        <v>67</v>
      </c>
      <c r="L39" t="s">
        <v>67</v>
      </c>
      <c r="M39" t="s">
        <v>68</v>
      </c>
      <c r="N39" t="s">
        <v>67</v>
      </c>
      <c r="O39" t="s">
        <v>67</v>
      </c>
      <c r="P39" t="s">
        <v>68</v>
      </c>
      <c r="Q39" t="s">
        <v>67</v>
      </c>
      <c r="R39" t="s">
        <v>77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s="10" t="s">
        <v>70</v>
      </c>
      <c r="BM39">
        <v>21</v>
      </c>
      <c r="BN39">
        <v>76</v>
      </c>
      <c r="BO39">
        <v>76</v>
      </c>
      <c r="BP39">
        <v>0</v>
      </c>
    </row>
    <row r="40" spans="4:70" x14ac:dyDescent="0.25">
      <c r="D40">
        <v>5</v>
      </c>
      <c r="E40" t="s">
        <v>77</v>
      </c>
      <c r="F40" t="s">
        <v>67</v>
      </c>
      <c r="G40" t="s">
        <v>67</v>
      </c>
      <c r="H40" t="s">
        <v>67</v>
      </c>
      <c r="I40" t="s">
        <v>67</v>
      </c>
      <c r="J40" t="s">
        <v>67</v>
      </c>
      <c r="K40" t="s">
        <v>90</v>
      </c>
      <c r="L40" t="s">
        <v>67</v>
      </c>
      <c r="M40" t="s">
        <v>77</v>
      </c>
      <c r="N40" t="s">
        <v>67</v>
      </c>
      <c r="O40" t="s">
        <v>67</v>
      </c>
      <c r="P40" t="s">
        <v>67</v>
      </c>
      <c r="Q40" t="s">
        <v>67</v>
      </c>
      <c r="R40" t="s">
        <v>77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s="11" t="s">
        <v>79</v>
      </c>
      <c r="AO40" t="s">
        <v>67</v>
      </c>
      <c r="AP40" t="s">
        <v>82</v>
      </c>
      <c r="AQ40" s="10" t="s">
        <v>70</v>
      </c>
      <c r="BM40">
        <v>5</v>
      </c>
      <c r="BN40">
        <v>79</v>
      </c>
      <c r="BO40">
        <v>78</v>
      </c>
      <c r="BP40">
        <v>1</v>
      </c>
      <c r="BQ40">
        <v>76</v>
      </c>
      <c r="BR40">
        <v>3</v>
      </c>
    </row>
    <row r="41" spans="4:70" x14ac:dyDescent="0.25">
      <c r="D41">
        <v>40</v>
      </c>
      <c r="E41" t="s">
        <v>67</v>
      </c>
      <c r="F41" t="s">
        <v>67</v>
      </c>
      <c r="G41" t="s">
        <v>67</v>
      </c>
      <c r="H41" t="s">
        <v>67</v>
      </c>
      <c r="I41" t="s">
        <v>67</v>
      </c>
      <c r="J41" t="s">
        <v>67</v>
      </c>
      <c r="K41" t="s">
        <v>67</v>
      </c>
      <c r="L41" t="s">
        <v>67</v>
      </c>
      <c r="M41" t="s">
        <v>77</v>
      </c>
      <c r="N41" t="s">
        <v>67</v>
      </c>
      <c r="O41" t="s">
        <v>67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77</v>
      </c>
      <c r="Z41" t="s">
        <v>67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79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s="10" t="s">
        <v>70</v>
      </c>
      <c r="BM41">
        <v>40</v>
      </c>
      <c r="BN41">
        <v>80</v>
      </c>
      <c r="BO41">
        <v>80</v>
      </c>
      <c r="BP41">
        <v>0</v>
      </c>
    </row>
    <row r="42" spans="4:70" x14ac:dyDescent="0.25">
      <c r="D42">
        <v>79</v>
      </c>
      <c r="E42" t="s">
        <v>67</v>
      </c>
      <c r="F42" t="s">
        <v>67</v>
      </c>
      <c r="G42" t="s">
        <v>67</v>
      </c>
      <c r="H42" t="s">
        <v>67</v>
      </c>
      <c r="I42" t="s">
        <v>67</v>
      </c>
      <c r="J42" t="s">
        <v>67</v>
      </c>
      <c r="K42" t="s">
        <v>67</v>
      </c>
      <c r="L42" t="s">
        <v>67</v>
      </c>
      <c r="M42" t="s">
        <v>67</v>
      </c>
      <c r="N42" t="s">
        <v>67</v>
      </c>
      <c r="O42" t="s">
        <v>67</v>
      </c>
      <c r="P42" t="s">
        <v>67</v>
      </c>
      <c r="Q42" t="s">
        <v>67</v>
      </c>
      <c r="R42" t="s">
        <v>77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s="11" t="s">
        <v>67</v>
      </c>
      <c r="AQ42" t="s">
        <v>67</v>
      </c>
      <c r="AR42" s="10" t="s">
        <v>70</v>
      </c>
      <c r="BM42">
        <v>79</v>
      </c>
      <c r="BN42">
        <v>80</v>
      </c>
      <c r="BO42">
        <v>80</v>
      </c>
      <c r="BP42">
        <v>0</v>
      </c>
      <c r="BQ42">
        <v>78</v>
      </c>
      <c r="BR42">
        <v>2</v>
      </c>
    </row>
    <row r="43" spans="4:70" x14ac:dyDescent="0.25">
      <c r="D43">
        <v>51</v>
      </c>
      <c r="E43" t="s">
        <v>67</v>
      </c>
      <c r="F43" t="s">
        <v>67</v>
      </c>
      <c r="G43" t="s">
        <v>67</v>
      </c>
      <c r="H43" t="s">
        <v>67</v>
      </c>
      <c r="I43" t="s">
        <v>67</v>
      </c>
      <c r="J43" t="s">
        <v>67</v>
      </c>
      <c r="K43" t="s">
        <v>67</v>
      </c>
      <c r="L43" t="s">
        <v>67</v>
      </c>
      <c r="M43" t="s">
        <v>67</v>
      </c>
      <c r="N43" t="s">
        <v>67</v>
      </c>
      <c r="O43" t="s">
        <v>67</v>
      </c>
      <c r="P43" t="s">
        <v>67</v>
      </c>
      <c r="Q43" t="s">
        <v>67</v>
      </c>
      <c r="R43" t="s">
        <v>77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s="11" t="s">
        <v>67</v>
      </c>
      <c r="AP43" t="s">
        <v>91</v>
      </c>
      <c r="AQ43" t="s">
        <v>91</v>
      </c>
      <c r="AR43" s="10" t="s">
        <v>70</v>
      </c>
      <c r="BM43">
        <v>51</v>
      </c>
      <c r="BN43">
        <v>80</v>
      </c>
      <c r="BO43">
        <v>78</v>
      </c>
      <c r="BP43">
        <v>2</v>
      </c>
      <c r="BQ43">
        <v>77</v>
      </c>
      <c r="BR43">
        <v>3</v>
      </c>
    </row>
    <row r="44" spans="4:70" x14ac:dyDescent="0.25">
      <c r="D44">
        <v>15</v>
      </c>
      <c r="E44" t="s">
        <v>67</v>
      </c>
      <c r="F44" t="s">
        <v>67</v>
      </c>
      <c r="G44" t="s">
        <v>67</v>
      </c>
      <c r="H44" t="s">
        <v>67</v>
      </c>
      <c r="I44" t="s">
        <v>67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67</v>
      </c>
      <c r="Q44" t="s">
        <v>77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77</v>
      </c>
      <c r="AD44" t="s">
        <v>67</v>
      </c>
      <c r="AE44" t="s">
        <v>67</v>
      </c>
      <c r="AF44" t="s">
        <v>77</v>
      </c>
      <c r="AG44" t="s">
        <v>77</v>
      </c>
      <c r="AH44" t="s">
        <v>67</v>
      </c>
      <c r="AI44" t="s">
        <v>67</v>
      </c>
      <c r="AJ44" t="s">
        <v>67</v>
      </c>
      <c r="AK44" t="s">
        <v>79</v>
      </c>
      <c r="AL44" t="s">
        <v>67</v>
      </c>
      <c r="AM44" t="s">
        <v>79</v>
      </c>
      <c r="AN44" t="s">
        <v>67</v>
      </c>
      <c r="AO44" t="s">
        <v>67</v>
      </c>
      <c r="AP44" t="s">
        <v>67</v>
      </c>
      <c r="AQ44" t="s">
        <v>67</v>
      </c>
      <c r="AR44" t="s">
        <v>79</v>
      </c>
      <c r="AS44" s="10" t="s">
        <v>70</v>
      </c>
      <c r="BM44">
        <v>15</v>
      </c>
      <c r="BN44">
        <v>81</v>
      </c>
      <c r="BO44">
        <v>80</v>
      </c>
      <c r="BP44">
        <v>0</v>
      </c>
    </row>
    <row r="45" spans="4:70" x14ac:dyDescent="0.25">
      <c r="D45">
        <v>85</v>
      </c>
      <c r="E45" t="s">
        <v>67</v>
      </c>
      <c r="F45" t="s">
        <v>67</v>
      </c>
      <c r="G45" t="s">
        <v>67</v>
      </c>
      <c r="H45" t="s">
        <v>67</v>
      </c>
      <c r="I45" t="s">
        <v>67</v>
      </c>
      <c r="J45" t="s">
        <v>67</v>
      </c>
      <c r="K45" t="s">
        <v>67</v>
      </c>
      <c r="L45" t="s">
        <v>67</v>
      </c>
      <c r="M45" t="s">
        <v>67</v>
      </c>
      <c r="N45" t="s">
        <v>67</v>
      </c>
      <c r="O45" t="s">
        <v>67</v>
      </c>
      <c r="P45" t="s">
        <v>67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79</v>
      </c>
      <c r="AS45" s="10" t="s">
        <v>70</v>
      </c>
      <c r="BM45">
        <v>85</v>
      </c>
      <c r="BN45">
        <v>81</v>
      </c>
      <c r="BO45">
        <v>81</v>
      </c>
      <c r="BP45">
        <v>0</v>
      </c>
    </row>
    <row r="46" spans="4:70" x14ac:dyDescent="0.25">
      <c r="D46">
        <v>58</v>
      </c>
      <c r="E46" t="s">
        <v>67</v>
      </c>
      <c r="F46" t="s">
        <v>67</v>
      </c>
      <c r="G46" t="s">
        <v>67</v>
      </c>
      <c r="H46" t="s">
        <v>67</v>
      </c>
      <c r="I46" t="s">
        <v>67</v>
      </c>
      <c r="J46" t="s">
        <v>77</v>
      </c>
      <c r="K46" t="s">
        <v>77</v>
      </c>
      <c r="L46" t="s">
        <v>77</v>
      </c>
      <c r="M46" t="s">
        <v>77</v>
      </c>
      <c r="N46" t="s">
        <v>68</v>
      </c>
      <c r="O46" t="s">
        <v>77</v>
      </c>
      <c r="P46" t="s">
        <v>77</v>
      </c>
      <c r="Q46" t="s">
        <v>67</v>
      </c>
      <c r="R46" t="s">
        <v>73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s="11" t="s">
        <v>67</v>
      </c>
      <c r="AQ46" t="s">
        <v>67</v>
      </c>
      <c r="AR46" t="s">
        <v>67</v>
      </c>
      <c r="AS46" s="10" t="s">
        <v>70</v>
      </c>
      <c r="BM46">
        <v>58</v>
      </c>
      <c r="BN46">
        <v>81</v>
      </c>
      <c r="BO46">
        <v>81</v>
      </c>
      <c r="BP46">
        <v>0</v>
      </c>
      <c r="BQ46">
        <v>78</v>
      </c>
      <c r="BR46">
        <v>3</v>
      </c>
    </row>
    <row r="47" spans="4:70" x14ac:dyDescent="0.25">
      <c r="D47">
        <v>37</v>
      </c>
      <c r="E47" t="s">
        <v>67</v>
      </c>
      <c r="F47" t="s">
        <v>67</v>
      </c>
      <c r="G47" t="s">
        <v>67</v>
      </c>
      <c r="H47" t="s">
        <v>67</v>
      </c>
      <c r="I47" t="s">
        <v>67</v>
      </c>
      <c r="J47" t="s">
        <v>67</v>
      </c>
      <c r="K47" t="s">
        <v>67</v>
      </c>
      <c r="L47" t="s">
        <v>67</v>
      </c>
      <c r="M47" t="s">
        <v>68</v>
      </c>
      <c r="N47" t="s">
        <v>67</v>
      </c>
      <c r="O47" t="s">
        <v>67</v>
      </c>
      <c r="P47" t="s">
        <v>67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82</v>
      </c>
      <c r="AQ47" t="s">
        <v>82</v>
      </c>
      <c r="AR47" t="s">
        <v>82</v>
      </c>
      <c r="AS47" s="10" t="s">
        <v>70</v>
      </c>
      <c r="BM47">
        <v>37</v>
      </c>
      <c r="BN47">
        <v>81</v>
      </c>
      <c r="BO47">
        <v>78</v>
      </c>
      <c r="BP47">
        <v>3</v>
      </c>
    </row>
    <row r="48" spans="4:70" x14ac:dyDescent="0.25">
      <c r="D48">
        <v>14</v>
      </c>
      <c r="E48" t="s">
        <v>67</v>
      </c>
      <c r="F48" t="s">
        <v>67</v>
      </c>
      <c r="G48" t="s">
        <v>67</v>
      </c>
      <c r="H48" t="s">
        <v>67</v>
      </c>
      <c r="I48" t="s">
        <v>67</v>
      </c>
      <c r="J48" t="s">
        <v>67</v>
      </c>
      <c r="K48" t="s">
        <v>67</v>
      </c>
      <c r="L48" t="s">
        <v>67</v>
      </c>
      <c r="M48" t="s">
        <v>67</v>
      </c>
      <c r="N48" t="s">
        <v>67</v>
      </c>
      <c r="O48" t="s">
        <v>67</v>
      </c>
      <c r="P48" t="s">
        <v>67</v>
      </c>
      <c r="Q48" t="s">
        <v>77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s">
        <v>76</v>
      </c>
      <c r="AT48" s="10" t="s">
        <v>70</v>
      </c>
      <c r="BM48">
        <v>14</v>
      </c>
      <c r="BN48">
        <v>82</v>
      </c>
      <c r="BO48">
        <v>81</v>
      </c>
      <c r="BP48">
        <v>1</v>
      </c>
    </row>
    <row r="49" spans="2:75" x14ac:dyDescent="0.25">
      <c r="D49">
        <v>8</v>
      </c>
      <c r="E49" t="s">
        <v>77</v>
      </c>
      <c r="F49" t="s">
        <v>67</v>
      </c>
      <c r="G49" t="s">
        <v>67</v>
      </c>
      <c r="H49" t="s">
        <v>67</v>
      </c>
      <c r="I49" t="s">
        <v>67</v>
      </c>
      <c r="J49" t="s">
        <v>67</v>
      </c>
      <c r="K49" t="s">
        <v>67</v>
      </c>
      <c r="L49" t="s">
        <v>67</v>
      </c>
      <c r="M49" t="s">
        <v>67</v>
      </c>
      <c r="N49" t="s">
        <v>67</v>
      </c>
      <c r="O49" t="s">
        <v>67</v>
      </c>
      <c r="P49" t="s">
        <v>67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77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s="11" t="s">
        <v>67</v>
      </c>
      <c r="AO49" t="s">
        <v>67</v>
      </c>
      <c r="AP49" t="s">
        <v>82</v>
      </c>
      <c r="AQ49" t="s">
        <v>82</v>
      </c>
      <c r="AR49" t="s">
        <v>74</v>
      </c>
      <c r="AS49" t="s">
        <v>74</v>
      </c>
      <c r="AT49" t="s">
        <v>74</v>
      </c>
      <c r="AU49" s="10" t="s">
        <v>70</v>
      </c>
      <c r="BM49">
        <v>8</v>
      </c>
      <c r="BN49">
        <v>83</v>
      </c>
      <c r="BO49">
        <v>78</v>
      </c>
      <c r="BP49">
        <v>5</v>
      </c>
      <c r="BQ49">
        <v>76</v>
      </c>
      <c r="BR49">
        <v>7</v>
      </c>
    </row>
    <row r="50" spans="2:75" x14ac:dyDescent="0.25">
      <c r="D50">
        <v>77</v>
      </c>
      <c r="E50" t="s">
        <v>67</v>
      </c>
      <c r="F50" t="s">
        <v>67</v>
      </c>
      <c r="G50" t="s">
        <v>67</v>
      </c>
      <c r="H50" t="s">
        <v>67</v>
      </c>
      <c r="I50" t="s">
        <v>67</v>
      </c>
      <c r="J50" t="s">
        <v>67</v>
      </c>
      <c r="K50" t="s">
        <v>67</v>
      </c>
      <c r="L50" t="s">
        <v>67</v>
      </c>
      <c r="M50" t="s">
        <v>67</v>
      </c>
      <c r="N50" t="s">
        <v>67</v>
      </c>
      <c r="O50" t="s">
        <v>67</v>
      </c>
      <c r="P50" t="s">
        <v>67</v>
      </c>
      <c r="Q50" t="s">
        <v>67</v>
      </c>
      <c r="R50" t="s">
        <v>67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77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 t="s">
        <v>67</v>
      </c>
      <c r="AO50" t="s">
        <v>67</v>
      </c>
      <c r="AP50" s="11" t="s">
        <v>67</v>
      </c>
      <c r="AQ50" t="s">
        <v>67</v>
      </c>
      <c r="AR50" t="s">
        <v>79</v>
      </c>
      <c r="AS50" t="s">
        <v>67</v>
      </c>
      <c r="AT50" t="s">
        <v>67</v>
      </c>
      <c r="AU50" t="s">
        <v>79</v>
      </c>
      <c r="AV50" t="s">
        <v>83</v>
      </c>
      <c r="AW50" s="10" t="s">
        <v>70</v>
      </c>
      <c r="BM50">
        <v>77</v>
      </c>
      <c r="BN50">
        <v>85</v>
      </c>
      <c r="BO50">
        <v>84</v>
      </c>
      <c r="BP50">
        <v>1</v>
      </c>
      <c r="BQ50">
        <v>78</v>
      </c>
      <c r="BR50">
        <v>7</v>
      </c>
    </row>
    <row r="51" spans="2:75" x14ac:dyDescent="0.25">
      <c r="D51">
        <v>57</v>
      </c>
      <c r="E51" t="s">
        <v>67</v>
      </c>
      <c r="F51" t="s">
        <v>67</v>
      </c>
      <c r="G51" t="s">
        <v>67</v>
      </c>
      <c r="H51" t="s">
        <v>67</v>
      </c>
      <c r="I51" t="s">
        <v>67</v>
      </c>
      <c r="J51" t="s">
        <v>77</v>
      </c>
      <c r="K51" t="s">
        <v>77</v>
      </c>
      <c r="L51" t="s">
        <v>77</v>
      </c>
      <c r="M51" t="s">
        <v>77</v>
      </c>
      <c r="N51" t="s">
        <v>68</v>
      </c>
      <c r="O51" t="s">
        <v>77</v>
      </c>
      <c r="P51" t="s">
        <v>67</v>
      </c>
      <c r="Q51" t="s">
        <v>67</v>
      </c>
      <c r="R51" t="s">
        <v>77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s="10" t="s">
        <v>70</v>
      </c>
      <c r="BM51">
        <v>57</v>
      </c>
      <c r="BN51">
        <v>86</v>
      </c>
      <c r="BO51">
        <v>86</v>
      </c>
      <c r="BP51">
        <v>0</v>
      </c>
      <c r="BQ51">
        <v>85</v>
      </c>
      <c r="BR51">
        <v>1</v>
      </c>
    </row>
    <row r="52" spans="2:75" x14ac:dyDescent="0.25">
      <c r="D52">
        <v>32</v>
      </c>
      <c r="E52" t="s">
        <v>67</v>
      </c>
      <c r="F52" t="s">
        <v>67</v>
      </c>
      <c r="G52" t="s">
        <v>67</v>
      </c>
      <c r="H52" t="s">
        <v>67</v>
      </c>
      <c r="I52" t="s">
        <v>67</v>
      </c>
      <c r="J52" t="s">
        <v>67</v>
      </c>
      <c r="K52" t="s">
        <v>67</v>
      </c>
      <c r="L52" t="s">
        <v>67</v>
      </c>
      <c r="M52" t="s">
        <v>67</v>
      </c>
      <c r="N52" t="s">
        <v>67</v>
      </c>
      <c r="O52" t="s">
        <v>67</v>
      </c>
      <c r="P52" t="s">
        <v>67</v>
      </c>
      <c r="Q52" t="s">
        <v>67</v>
      </c>
      <c r="R52" t="s">
        <v>67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67</v>
      </c>
      <c r="AO52" t="s">
        <v>67</v>
      </c>
      <c r="AP52" t="s">
        <v>67</v>
      </c>
      <c r="AQ52" t="s">
        <v>67</v>
      </c>
      <c r="AR52" t="s">
        <v>79</v>
      </c>
      <c r="AS52" t="s">
        <v>67</v>
      </c>
      <c r="AT52" t="s">
        <v>67</v>
      </c>
      <c r="AU52" t="s">
        <v>67</v>
      </c>
      <c r="AV52" s="11" t="s">
        <v>67</v>
      </c>
      <c r="AW52" t="s">
        <v>67</v>
      </c>
      <c r="AX52" t="s">
        <v>67</v>
      </c>
      <c r="AY52" s="10" t="s">
        <v>70</v>
      </c>
      <c r="BM52">
        <v>32</v>
      </c>
      <c r="BN52">
        <v>87</v>
      </c>
      <c r="BO52">
        <v>87</v>
      </c>
      <c r="BP52">
        <v>0</v>
      </c>
      <c r="BQ52">
        <v>84</v>
      </c>
      <c r="BR52">
        <v>3</v>
      </c>
    </row>
    <row r="53" spans="2:75" x14ac:dyDescent="0.25">
      <c r="D53">
        <v>43</v>
      </c>
      <c r="E53" t="s">
        <v>67</v>
      </c>
      <c r="F53" t="s">
        <v>67</v>
      </c>
      <c r="G53" t="s">
        <v>67</v>
      </c>
      <c r="H53" t="s">
        <v>67</v>
      </c>
      <c r="I53" t="s">
        <v>67</v>
      </c>
      <c r="J53" t="s">
        <v>67</v>
      </c>
      <c r="K53" t="s">
        <v>67</v>
      </c>
      <c r="L53" t="s">
        <v>67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67</v>
      </c>
      <c r="AO53" t="s">
        <v>67</v>
      </c>
      <c r="AP53" t="s">
        <v>67</v>
      </c>
      <c r="AQ53" t="s">
        <v>67</v>
      </c>
      <c r="AR53" t="s">
        <v>67</v>
      </c>
      <c r="AS53" t="s">
        <v>67</v>
      </c>
      <c r="AT53" t="s">
        <v>67</v>
      </c>
      <c r="AU53" t="s">
        <v>67</v>
      </c>
      <c r="AV53" s="11" t="s">
        <v>67</v>
      </c>
      <c r="AW53" t="s">
        <v>83</v>
      </c>
      <c r="AX53" t="s">
        <v>83</v>
      </c>
      <c r="AY53" s="10" t="s">
        <v>70</v>
      </c>
      <c r="BM53">
        <v>43</v>
      </c>
      <c r="BN53">
        <v>87</v>
      </c>
      <c r="BO53">
        <v>85</v>
      </c>
      <c r="BP53">
        <v>2</v>
      </c>
      <c r="BQ53">
        <v>84</v>
      </c>
      <c r="BR53">
        <v>3</v>
      </c>
    </row>
    <row r="54" spans="2:75" x14ac:dyDescent="0.25">
      <c r="D54">
        <v>1</v>
      </c>
      <c r="E54" t="s">
        <v>77</v>
      </c>
      <c r="F54" t="s">
        <v>67</v>
      </c>
      <c r="G54" t="s">
        <v>67</v>
      </c>
      <c r="H54" t="s">
        <v>67</v>
      </c>
      <c r="I54" t="s">
        <v>67</v>
      </c>
      <c r="J54" t="s">
        <v>67</v>
      </c>
      <c r="K54" t="s">
        <v>67</v>
      </c>
      <c r="L54" t="s">
        <v>67</v>
      </c>
      <c r="M54" t="s">
        <v>67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 t="s">
        <v>67</v>
      </c>
      <c r="AO54" t="s">
        <v>67</v>
      </c>
      <c r="AP54" t="s">
        <v>67</v>
      </c>
      <c r="AQ54" t="s">
        <v>67</v>
      </c>
      <c r="AR54" t="s">
        <v>67</v>
      </c>
      <c r="AS54" t="s">
        <v>67</v>
      </c>
      <c r="AT54" t="s">
        <v>67</v>
      </c>
      <c r="AU54" t="s">
        <v>82</v>
      </c>
      <c r="AV54" t="s">
        <v>82</v>
      </c>
      <c r="AW54" t="s">
        <v>84</v>
      </c>
      <c r="AX54" t="s">
        <v>84</v>
      </c>
      <c r="AY54" s="10" t="s">
        <v>70</v>
      </c>
      <c r="BM54">
        <v>1</v>
      </c>
      <c r="BN54">
        <v>87</v>
      </c>
      <c r="BO54">
        <v>83</v>
      </c>
      <c r="BP54">
        <v>4</v>
      </c>
      <c r="BQ54">
        <v>68</v>
      </c>
    </row>
    <row r="55" spans="2:75" x14ac:dyDescent="0.25">
      <c r="D55">
        <v>38</v>
      </c>
      <c r="E55" t="s">
        <v>67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67</v>
      </c>
      <c r="L55" t="s">
        <v>67</v>
      </c>
      <c r="M55" t="s">
        <v>77</v>
      </c>
      <c r="N55" t="s">
        <v>67</v>
      </c>
      <c r="O55" t="s">
        <v>77</v>
      </c>
      <c r="P55" t="s">
        <v>67</v>
      </c>
      <c r="Q55" t="s">
        <v>67</v>
      </c>
      <c r="R55" t="s">
        <v>77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68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 t="s">
        <v>67</v>
      </c>
      <c r="AO55" t="s">
        <v>67</v>
      </c>
      <c r="AP55" t="s">
        <v>67</v>
      </c>
      <c r="AQ55" t="s">
        <v>67</v>
      </c>
      <c r="AR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74</v>
      </c>
      <c r="AZ55" s="10" t="s">
        <v>70</v>
      </c>
      <c r="BM55">
        <v>38</v>
      </c>
      <c r="BN55">
        <v>88</v>
      </c>
      <c r="BO55">
        <v>87</v>
      </c>
      <c r="BP55">
        <v>1</v>
      </c>
    </row>
    <row r="56" spans="2:75" x14ac:dyDescent="0.25">
      <c r="D56">
        <v>36</v>
      </c>
      <c r="E56" t="s">
        <v>67</v>
      </c>
      <c r="F56" t="s">
        <v>67</v>
      </c>
      <c r="G56" t="s">
        <v>67</v>
      </c>
      <c r="H56" t="s">
        <v>67</v>
      </c>
      <c r="I56" t="s">
        <v>67</v>
      </c>
      <c r="J56" t="s">
        <v>67</v>
      </c>
      <c r="K56" t="s">
        <v>67</v>
      </c>
      <c r="L56" t="s">
        <v>67</v>
      </c>
      <c r="M56" t="s">
        <v>67</v>
      </c>
      <c r="N56" t="s">
        <v>77</v>
      </c>
      <c r="O56" t="s">
        <v>67</v>
      </c>
      <c r="P56" t="s">
        <v>67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67</v>
      </c>
      <c r="AM56" t="s">
        <v>67</v>
      </c>
      <c r="AN56" t="s">
        <v>67</v>
      </c>
      <c r="AO56" t="s">
        <v>67</v>
      </c>
      <c r="AP56" t="s">
        <v>67</v>
      </c>
      <c r="AQ56" t="s">
        <v>67</v>
      </c>
      <c r="AR56" t="s">
        <v>67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  <c r="AY56" t="s">
        <v>84</v>
      </c>
      <c r="AZ56" s="10" t="s">
        <v>70</v>
      </c>
      <c r="BM56">
        <v>36</v>
      </c>
      <c r="BN56">
        <v>88</v>
      </c>
      <c r="BO56">
        <v>87</v>
      </c>
      <c r="BP56">
        <v>1</v>
      </c>
    </row>
    <row r="57" spans="2:75" x14ac:dyDescent="0.25">
      <c r="D57">
        <v>33</v>
      </c>
      <c r="E57" t="s">
        <v>67</v>
      </c>
      <c r="F57" t="s">
        <v>67</v>
      </c>
      <c r="G57" t="s">
        <v>67</v>
      </c>
      <c r="H57" t="s">
        <v>67</v>
      </c>
      <c r="I57" t="s">
        <v>67</v>
      </c>
      <c r="J57" t="s">
        <v>67</v>
      </c>
      <c r="K57" t="s">
        <v>67</v>
      </c>
      <c r="L57" t="s">
        <v>67</v>
      </c>
      <c r="M57" t="s">
        <v>68</v>
      </c>
      <c r="N57" t="s">
        <v>68</v>
      </c>
      <c r="O57" t="s">
        <v>77</v>
      </c>
      <c r="P57" t="s">
        <v>77</v>
      </c>
      <c r="Q57" t="s">
        <v>77</v>
      </c>
      <c r="R57" t="s">
        <v>77</v>
      </c>
      <c r="S57" t="s">
        <v>67</v>
      </c>
      <c r="T57" t="s">
        <v>67</v>
      </c>
      <c r="U57" t="s">
        <v>67</v>
      </c>
      <c r="V57" t="s">
        <v>68</v>
      </c>
      <c r="W57" t="s">
        <v>67</v>
      </c>
      <c r="X57" t="s">
        <v>67</v>
      </c>
      <c r="Y57" t="s">
        <v>77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92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 s="10" t="s">
        <v>70</v>
      </c>
      <c r="BM57">
        <v>33</v>
      </c>
      <c r="BN57">
        <v>90</v>
      </c>
      <c r="BO57">
        <v>90</v>
      </c>
      <c r="BP57">
        <v>0</v>
      </c>
      <c r="BQ57">
        <v>89</v>
      </c>
      <c r="BR57">
        <v>1</v>
      </c>
    </row>
    <row r="58" spans="2:75" x14ac:dyDescent="0.25">
      <c r="D58">
        <v>83</v>
      </c>
      <c r="E58" t="s">
        <v>67</v>
      </c>
      <c r="F58" t="s">
        <v>67</v>
      </c>
      <c r="G58" t="s">
        <v>67</v>
      </c>
      <c r="H58" t="s">
        <v>67</v>
      </c>
      <c r="I58" t="s">
        <v>67</v>
      </c>
      <c r="J58" t="s">
        <v>67</v>
      </c>
      <c r="K58" t="s">
        <v>67</v>
      </c>
      <c r="L58" t="s">
        <v>67</v>
      </c>
      <c r="M58" t="s">
        <v>67</v>
      </c>
      <c r="N58" t="s">
        <v>67</v>
      </c>
      <c r="O58" t="s">
        <v>67</v>
      </c>
      <c r="P58" t="s">
        <v>67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79</v>
      </c>
      <c r="AZ58" s="11" t="s">
        <v>67</v>
      </c>
      <c r="BA58" t="s">
        <v>67</v>
      </c>
      <c r="BB58" s="10" t="s">
        <v>70</v>
      </c>
      <c r="BM58">
        <v>83</v>
      </c>
      <c r="BN58">
        <v>90</v>
      </c>
      <c r="BO58">
        <v>90</v>
      </c>
      <c r="BP58">
        <v>0</v>
      </c>
      <c r="BQ58">
        <v>88</v>
      </c>
      <c r="BR58">
        <v>2</v>
      </c>
    </row>
    <row r="59" spans="2:75" x14ac:dyDescent="0.25">
      <c r="D59">
        <v>86</v>
      </c>
      <c r="E59" t="s">
        <v>67</v>
      </c>
      <c r="F59" t="s">
        <v>67</v>
      </c>
      <c r="G59" t="s">
        <v>67</v>
      </c>
      <c r="H59" t="s">
        <v>67</v>
      </c>
      <c r="I59" t="s">
        <v>67</v>
      </c>
      <c r="J59" t="s">
        <v>67</v>
      </c>
      <c r="K59" t="s">
        <v>67</v>
      </c>
      <c r="L59" t="s">
        <v>67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77</v>
      </c>
      <c r="U59" t="s">
        <v>77</v>
      </c>
      <c r="V59" t="s">
        <v>77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s="11" t="s">
        <v>67</v>
      </c>
      <c r="BC59" t="s">
        <v>67</v>
      </c>
      <c r="BD59" t="s">
        <v>67</v>
      </c>
      <c r="BE59" t="s">
        <v>67</v>
      </c>
      <c r="BF59" s="10" t="s">
        <v>70</v>
      </c>
      <c r="BM59">
        <v>86</v>
      </c>
      <c r="BN59">
        <v>94</v>
      </c>
      <c r="BO59">
        <v>94</v>
      </c>
      <c r="BP59">
        <v>0</v>
      </c>
      <c r="BQ59">
        <v>90</v>
      </c>
      <c r="BR59">
        <v>4</v>
      </c>
    </row>
    <row r="60" spans="2:75" x14ac:dyDescent="0.25">
      <c r="D60">
        <v>16</v>
      </c>
      <c r="E60" t="s">
        <v>67</v>
      </c>
      <c r="F60" t="s">
        <v>67</v>
      </c>
      <c r="G60" t="s">
        <v>67</v>
      </c>
      <c r="H60" t="s">
        <v>67</v>
      </c>
      <c r="I60" t="s">
        <v>67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68</v>
      </c>
      <c r="P60" t="s">
        <v>77</v>
      </c>
      <c r="Q60" t="s">
        <v>77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77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90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s">
        <v>67</v>
      </c>
      <c r="AT60" t="s">
        <v>67</v>
      </c>
      <c r="AU60" t="s">
        <v>67</v>
      </c>
      <c r="AV60" t="s">
        <v>67</v>
      </c>
      <c r="AW60" t="s">
        <v>67</v>
      </c>
      <c r="AX60" t="s">
        <v>67</v>
      </c>
      <c r="AY60" t="s">
        <v>67</v>
      </c>
      <c r="AZ60" t="s">
        <v>67</v>
      </c>
      <c r="BA60" s="11" t="s">
        <v>67</v>
      </c>
      <c r="BB60" t="s">
        <v>82</v>
      </c>
      <c r="BC60" t="s">
        <v>83</v>
      </c>
      <c r="BD60" t="s">
        <v>83</v>
      </c>
      <c r="BE60" t="s">
        <v>93</v>
      </c>
      <c r="BF60" s="10" t="s">
        <v>70</v>
      </c>
      <c r="BM60">
        <v>16</v>
      </c>
      <c r="BN60">
        <v>94</v>
      </c>
      <c r="BO60">
        <v>90</v>
      </c>
      <c r="BP60">
        <v>4</v>
      </c>
      <c r="BQ60">
        <v>89</v>
      </c>
      <c r="BR60">
        <v>5</v>
      </c>
    </row>
    <row r="61" spans="2:75" x14ac:dyDescent="0.25">
      <c r="D61">
        <v>26</v>
      </c>
      <c r="E61" t="s">
        <v>67</v>
      </c>
      <c r="F61" t="s">
        <v>67</v>
      </c>
      <c r="G61" t="s">
        <v>67</v>
      </c>
      <c r="H61" t="s">
        <v>67</v>
      </c>
      <c r="I61" t="s">
        <v>67</v>
      </c>
      <c r="J61" t="s">
        <v>67</v>
      </c>
      <c r="K61" t="s">
        <v>67</v>
      </c>
      <c r="L61" t="s">
        <v>67</v>
      </c>
      <c r="M61" t="s">
        <v>67</v>
      </c>
      <c r="N61" t="s">
        <v>67</v>
      </c>
      <c r="O61" t="s">
        <v>68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68</v>
      </c>
      <c r="Z61" t="s">
        <v>73</v>
      </c>
      <c r="AA61" t="s">
        <v>73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 t="s">
        <v>94</v>
      </c>
      <c r="BC61" t="s">
        <v>67</v>
      </c>
      <c r="BD61" t="s">
        <v>79</v>
      </c>
      <c r="BE61" t="s">
        <v>95</v>
      </c>
      <c r="BF61" t="s">
        <v>83</v>
      </c>
      <c r="BG61" t="s">
        <v>70</v>
      </c>
      <c r="BM61">
        <v>26</v>
      </c>
      <c r="BN61">
        <v>95</v>
      </c>
      <c r="BO61">
        <v>93</v>
      </c>
      <c r="BP61">
        <v>2</v>
      </c>
      <c r="BQ61">
        <v>92</v>
      </c>
      <c r="BR61">
        <v>3</v>
      </c>
    </row>
    <row r="62" spans="2:75" s="2" customFormat="1" ht="21" x14ac:dyDescent="0.35">
      <c r="B62"/>
      <c r="C62"/>
      <c r="D62">
        <v>28</v>
      </c>
      <c r="E62" t="s">
        <v>67</v>
      </c>
      <c r="F62" t="s">
        <v>67</v>
      </c>
      <c r="G62" t="s">
        <v>67</v>
      </c>
      <c r="H62" t="s">
        <v>67</v>
      </c>
      <c r="I62" t="s">
        <v>67</v>
      </c>
      <c r="J62" t="s">
        <v>67</v>
      </c>
      <c r="K62" t="s">
        <v>67</v>
      </c>
      <c r="L62" t="s">
        <v>67</v>
      </c>
      <c r="M62" t="s">
        <v>67</v>
      </c>
      <c r="N62" t="s">
        <v>77</v>
      </c>
      <c r="O62" t="s">
        <v>67</v>
      </c>
      <c r="P62" t="s">
        <v>77</v>
      </c>
      <c r="Q62" t="s">
        <v>77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73</v>
      </c>
      <c r="AA62" t="s">
        <v>67</v>
      </c>
      <c r="AB62" t="s">
        <v>77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67</v>
      </c>
      <c r="AO62" t="s">
        <v>67</v>
      </c>
      <c r="AP62" t="s">
        <v>67</v>
      </c>
      <c r="AQ62" t="s">
        <v>67</v>
      </c>
      <c r="AR62" t="s">
        <v>67</v>
      </c>
      <c r="AS62" t="s">
        <v>67</v>
      </c>
      <c r="AT62" t="s">
        <v>67</v>
      </c>
      <c r="AU62" t="s">
        <v>67</v>
      </c>
      <c r="AV62" t="s">
        <v>67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 t="s">
        <v>67</v>
      </c>
      <c r="BC62" t="s">
        <v>67</v>
      </c>
      <c r="BD62" t="s">
        <v>79</v>
      </c>
      <c r="BE62" t="s">
        <v>95</v>
      </c>
      <c r="BF62" t="s">
        <v>83</v>
      </c>
      <c r="BG62" t="s">
        <v>83</v>
      </c>
      <c r="BH62" t="s">
        <v>83</v>
      </c>
      <c r="BI62" t="s">
        <v>70</v>
      </c>
      <c r="BJ62"/>
      <c r="BK62"/>
      <c r="BL62"/>
      <c r="BM62">
        <v>28</v>
      </c>
      <c r="BN62">
        <v>97</v>
      </c>
      <c r="BO62">
        <v>93</v>
      </c>
      <c r="BP62">
        <v>4</v>
      </c>
      <c r="BQ62">
        <v>95</v>
      </c>
      <c r="BR62">
        <v>2</v>
      </c>
      <c r="BT62"/>
      <c r="BU62"/>
      <c r="BV62"/>
      <c r="BW62"/>
    </row>
    <row r="63" spans="2:75" x14ac:dyDescent="0.25">
      <c r="D63">
        <v>9</v>
      </c>
      <c r="E63" t="s">
        <v>68</v>
      </c>
      <c r="F63" t="s">
        <v>67</v>
      </c>
      <c r="G63" t="s">
        <v>67</v>
      </c>
      <c r="H63" t="s">
        <v>67</v>
      </c>
      <c r="I63" t="s">
        <v>67</v>
      </c>
      <c r="J63" t="s">
        <v>67</v>
      </c>
      <c r="K63" t="s">
        <v>67</v>
      </c>
      <c r="L63" t="s">
        <v>67</v>
      </c>
      <c r="M63" t="s">
        <v>68</v>
      </c>
      <c r="N63" t="s">
        <v>77</v>
      </c>
      <c r="O63" t="s">
        <v>67</v>
      </c>
      <c r="P63" t="s">
        <v>67</v>
      </c>
      <c r="Q63" t="s">
        <v>67</v>
      </c>
      <c r="R63" t="s">
        <v>77</v>
      </c>
      <c r="S63" t="s">
        <v>67</v>
      </c>
      <c r="T63" t="s">
        <v>67</v>
      </c>
      <c r="U63" t="s">
        <v>77</v>
      </c>
      <c r="V63" t="s">
        <v>67</v>
      </c>
      <c r="W63" t="s">
        <v>67</v>
      </c>
      <c r="X63" t="s">
        <v>67</v>
      </c>
      <c r="Y63" t="s">
        <v>77</v>
      </c>
      <c r="Z63" t="s">
        <v>77</v>
      </c>
      <c r="AA63" t="s">
        <v>67</v>
      </c>
      <c r="AB63" t="s">
        <v>77</v>
      </c>
      <c r="AC63" t="s">
        <v>67</v>
      </c>
      <c r="AD63" t="s">
        <v>67</v>
      </c>
      <c r="AE63" t="s">
        <v>67</v>
      </c>
      <c r="AF63" t="s">
        <v>67</v>
      </c>
      <c r="AG63" t="s">
        <v>90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67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t="s">
        <v>67</v>
      </c>
      <c r="BG63" s="11" t="s">
        <v>67</v>
      </c>
      <c r="BH63" t="s">
        <v>67</v>
      </c>
      <c r="BI63" t="s">
        <v>74</v>
      </c>
      <c r="BJ63" s="10" t="s">
        <v>70</v>
      </c>
      <c r="BM63">
        <v>9</v>
      </c>
      <c r="BN63">
        <v>98</v>
      </c>
      <c r="BO63">
        <v>97</v>
      </c>
      <c r="BP63">
        <v>1</v>
      </c>
      <c r="BQ63">
        <v>95</v>
      </c>
      <c r="BR63">
        <v>3</v>
      </c>
    </row>
    <row r="64" spans="2:75" x14ac:dyDescent="0.25">
      <c r="D64">
        <v>23</v>
      </c>
      <c r="E64" t="s">
        <v>67</v>
      </c>
      <c r="F64" t="s">
        <v>67</v>
      </c>
      <c r="G64" t="s">
        <v>67</v>
      </c>
      <c r="H64" t="s">
        <v>67</v>
      </c>
      <c r="I64" t="s">
        <v>67</v>
      </c>
      <c r="J64" t="s">
        <v>67</v>
      </c>
      <c r="K64" t="s">
        <v>67</v>
      </c>
      <c r="L64" t="s">
        <v>67</v>
      </c>
      <c r="M64" t="s">
        <v>77</v>
      </c>
      <c r="N64" t="s">
        <v>67</v>
      </c>
      <c r="O64" t="s">
        <v>67</v>
      </c>
      <c r="P64" t="s">
        <v>67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s="11" t="s">
        <v>67</v>
      </c>
      <c r="BC64" t="s">
        <v>67</v>
      </c>
      <c r="BD64" s="8" t="s">
        <v>79</v>
      </c>
      <c r="BE64" t="s">
        <v>67</v>
      </c>
      <c r="BF64" t="s">
        <v>79</v>
      </c>
      <c r="BG64" t="s">
        <v>67</v>
      </c>
      <c r="BH64" t="s">
        <v>67</v>
      </c>
      <c r="BI64" t="s">
        <v>67</v>
      </c>
      <c r="BJ64" t="s">
        <v>82</v>
      </c>
      <c r="BK64" s="10" t="s">
        <v>70</v>
      </c>
      <c r="BM64">
        <v>23</v>
      </c>
      <c r="BN64">
        <v>99</v>
      </c>
      <c r="BO64">
        <v>98</v>
      </c>
      <c r="BP64">
        <v>1</v>
      </c>
      <c r="BQ64">
        <v>90</v>
      </c>
      <c r="BR64">
        <v>9</v>
      </c>
    </row>
    <row r="65" spans="1:63" ht="21" x14ac:dyDescent="0.35">
      <c r="D65" s="2" t="s">
        <v>99</v>
      </c>
      <c r="E65" s="2">
        <v>41</v>
      </c>
      <c r="F65" s="2">
        <v>42</v>
      </c>
      <c r="G65" s="2">
        <v>43</v>
      </c>
      <c r="H65" s="2">
        <v>44</v>
      </c>
      <c r="I65" s="2">
        <v>45</v>
      </c>
      <c r="J65" s="2">
        <v>46</v>
      </c>
      <c r="K65" s="2">
        <v>47</v>
      </c>
      <c r="L65" s="2">
        <v>48</v>
      </c>
      <c r="M65" s="2">
        <v>49</v>
      </c>
      <c r="N65" s="2">
        <v>50</v>
      </c>
      <c r="O65" s="2">
        <v>51</v>
      </c>
      <c r="P65" s="2">
        <v>52</v>
      </c>
      <c r="Q65" s="2">
        <v>53</v>
      </c>
      <c r="R65" s="2">
        <v>54</v>
      </c>
      <c r="S65" s="2">
        <v>55</v>
      </c>
      <c r="T65" s="2">
        <v>56</v>
      </c>
      <c r="U65" s="2">
        <v>57</v>
      </c>
      <c r="V65" s="2">
        <v>58</v>
      </c>
      <c r="W65" s="2">
        <v>59</v>
      </c>
      <c r="X65" s="2">
        <v>60</v>
      </c>
      <c r="Y65" s="2">
        <v>61</v>
      </c>
      <c r="Z65" s="2">
        <v>62</v>
      </c>
      <c r="AA65" s="2">
        <v>63</v>
      </c>
      <c r="AB65" s="2">
        <v>64</v>
      </c>
      <c r="AC65" s="2">
        <v>65</v>
      </c>
      <c r="AD65" s="2">
        <v>66</v>
      </c>
      <c r="AE65" s="2">
        <v>67</v>
      </c>
      <c r="AF65" s="2">
        <v>68</v>
      </c>
      <c r="AG65" s="2">
        <v>69</v>
      </c>
      <c r="AH65" s="2">
        <v>70</v>
      </c>
      <c r="AI65" s="2">
        <v>71</v>
      </c>
      <c r="AJ65" s="2">
        <v>72</v>
      </c>
      <c r="AK65" s="2">
        <v>73</v>
      </c>
      <c r="AL65" s="2">
        <v>74</v>
      </c>
      <c r="AM65" s="2">
        <v>75</v>
      </c>
      <c r="AN65" s="2">
        <v>76</v>
      </c>
      <c r="AO65" s="2">
        <v>77</v>
      </c>
      <c r="AP65" s="2">
        <v>78</v>
      </c>
      <c r="AQ65" s="2">
        <v>79</v>
      </c>
      <c r="AR65" s="2">
        <v>80</v>
      </c>
      <c r="AS65" s="2">
        <v>81</v>
      </c>
      <c r="AT65" s="2">
        <v>82</v>
      </c>
      <c r="AU65" s="2">
        <v>83</v>
      </c>
      <c r="AV65" s="2">
        <v>84</v>
      </c>
      <c r="AW65" s="2">
        <v>85</v>
      </c>
      <c r="AX65" s="2">
        <v>86</v>
      </c>
      <c r="AY65" s="2">
        <v>87</v>
      </c>
      <c r="AZ65" s="2">
        <v>88</v>
      </c>
      <c r="BA65" s="2">
        <v>89</v>
      </c>
      <c r="BB65" s="2">
        <v>90</v>
      </c>
      <c r="BC65" s="2">
        <v>91</v>
      </c>
      <c r="BD65" s="2">
        <v>92</v>
      </c>
      <c r="BE65" s="2">
        <v>93</v>
      </c>
      <c r="BF65" s="2">
        <v>94</v>
      </c>
      <c r="BG65" s="2">
        <v>95</v>
      </c>
      <c r="BH65" s="2">
        <v>96</v>
      </c>
      <c r="BI65" s="2">
        <v>97</v>
      </c>
      <c r="BJ65" s="2">
        <v>98</v>
      </c>
      <c r="BK65" s="2">
        <v>99</v>
      </c>
    </row>
    <row r="72" spans="1:63" ht="31.5" x14ac:dyDescent="0.5">
      <c r="B72" s="5" t="s">
        <v>34</v>
      </c>
    </row>
    <row r="74" spans="1:63" ht="21" x14ac:dyDescent="0.35">
      <c r="A74" s="6"/>
      <c r="B74" s="6" t="s">
        <v>32</v>
      </c>
      <c r="C74" s="6"/>
      <c r="D74" s="6"/>
      <c r="E74" s="6" t="s">
        <v>33</v>
      </c>
      <c r="F74" s="6"/>
      <c r="G74" s="6"/>
      <c r="H74" s="2"/>
    </row>
    <row r="75" spans="1:63" x14ac:dyDescent="0.25">
      <c r="B75">
        <v>87</v>
      </c>
      <c r="E75">
        <v>69</v>
      </c>
    </row>
    <row r="76" spans="1:63" x14ac:dyDescent="0.25">
      <c r="B76">
        <v>75</v>
      </c>
      <c r="E76">
        <v>59</v>
      </c>
    </row>
    <row r="77" spans="1:63" x14ac:dyDescent="0.25">
      <c r="B77">
        <v>79</v>
      </c>
      <c r="E77">
        <v>83</v>
      </c>
    </row>
    <row r="78" spans="1:63" x14ac:dyDescent="0.25">
      <c r="B78">
        <v>83</v>
      </c>
      <c r="E78">
        <v>75</v>
      </c>
    </row>
    <row r="79" spans="1:63" x14ac:dyDescent="0.25">
      <c r="B79">
        <v>98</v>
      </c>
      <c r="E79">
        <v>91</v>
      </c>
    </row>
    <row r="80" spans="1:63" x14ac:dyDescent="0.25">
      <c r="B80">
        <v>65</v>
      </c>
      <c r="E80">
        <v>92</v>
      </c>
    </row>
    <row r="81" spans="2:5" x14ac:dyDescent="0.25">
      <c r="B81">
        <v>68</v>
      </c>
      <c r="E81">
        <v>44</v>
      </c>
    </row>
    <row r="82" spans="2:5" x14ac:dyDescent="0.25">
      <c r="B82">
        <v>82</v>
      </c>
      <c r="E82">
        <v>88</v>
      </c>
    </row>
    <row r="83" spans="2:5" x14ac:dyDescent="0.25">
      <c r="B83">
        <v>81</v>
      </c>
      <c r="E83">
        <v>89</v>
      </c>
    </row>
    <row r="84" spans="2:5" x14ac:dyDescent="0.25">
      <c r="B84">
        <v>94</v>
      </c>
      <c r="E84">
        <v>66</v>
      </c>
    </row>
    <row r="85" spans="2:5" x14ac:dyDescent="0.25">
      <c r="B85">
        <v>75</v>
      </c>
      <c r="E85">
        <v>76</v>
      </c>
    </row>
    <row r="86" spans="2:5" x14ac:dyDescent="0.25">
      <c r="B86">
        <v>59</v>
      </c>
      <c r="E86">
        <v>95</v>
      </c>
    </row>
    <row r="87" spans="2:5" x14ac:dyDescent="0.25">
      <c r="B87">
        <v>73</v>
      </c>
      <c r="E87">
        <v>88</v>
      </c>
    </row>
    <row r="88" spans="2:5" x14ac:dyDescent="0.25">
      <c r="B88">
        <v>76</v>
      </c>
      <c r="E88">
        <v>73</v>
      </c>
    </row>
    <row r="89" spans="2:5" x14ac:dyDescent="0.25">
      <c r="B89">
        <v>75</v>
      </c>
      <c r="E89">
        <v>71</v>
      </c>
    </row>
    <row r="90" spans="2:5" x14ac:dyDescent="0.25">
      <c r="B90">
        <v>99</v>
      </c>
      <c r="E90">
        <v>71</v>
      </c>
    </row>
    <row r="91" spans="2:5" x14ac:dyDescent="0.25">
      <c r="B91">
        <v>95</v>
      </c>
      <c r="E91">
        <v>90</v>
      </c>
    </row>
    <row r="92" spans="2:5" x14ac:dyDescent="0.25">
      <c r="B92">
        <v>68</v>
      </c>
      <c r="E92">
        <v>78</v>
      </c>
    </row>
    <row r="93" spans="2:5" x14ac:dyDescent="0.25">
      <c r="B93">
        <v>97</v>
      </c>
      <c r="E93">
        <v>88</v>
      </c>
    </row>
    <row r="94" spans="2:5" x14ac:dyDescent="0.25">
      <c r="B94">
        <v>74</v>
      </c>
      <c r="E94">
        <v>40</v>
      </c>
    </row>
    <row r="95" spans="2:5" x14ac:dyDescent="0.25">
      <c r="B95">
        <v>87</v>
      </c>
      <c r="E95">
        <v>58</v>
      </c>
    </row>
    <row r="96" spans="2:5" x14ac:dyDescent="0.25">
      <c r="B96">
        <v>90</v>
      </c>
      <c r="E96">
        <v>90</v>
      </c>
    </row>
    <row r="97" spans="2:5" x14ac:dyDescent="0.25">
      <c r="B97">
        <v>88</v>
      </c>
      <c r="E97">
        <v>67</v>
      </c>
    </row>
    <row r="98" spans="2:5" x14ac:dyDescent="0.25">
      <c r="B98">
        <v>81</v>
      </c>
      <c r="E98">
        <v>55</v>
      </c>
    </row>
    <row r="99" spans="2:5" x14ac:dyDescent="0.25">
      <c r="B99">
        <v>88</v>
      </c>
      <c r="E99">
        <v>87</v>
      </c>
    </row>
    <row r="100" spans="2:5" x14ac:dyDescent="0.25">
      <c r="B100">
        <v>63</v>
      </c>
      <c r="E100">
        <v>90</v>
      </c>
    </row>
    <row r="101" spans="2:5" x14ac:dyDescent="0.25">
      <c r="B101">
        <v>80</v>
      </c>
      <c r="E101">
        <v>58</v>
      </c>
    </row>
    <row r="102" spans="2:5" x14ac:dyDescent="0.25">
      <c r="B102">
        <v>54</v>
      </c>
      <c r="E102">
        <v>42</v>
      </c>
    </row>
    <row r="103" spans="2:5" x14ac:dyDescent="0.25">
      <c r="B103">
        <v>87</v>
      </c>
      <c r="E103">
        <v>72</v>
      </c>
    </row>
    <row r="104" spans="2:5" x14ac:dyDescent="0.25">
      <c r="B104">
        <v>81</v>
      </c>
      <c r="E104">
        <v>73</v>
      </c>
    </row>
    <row r="105" spans="2:5" x14ac:dyDescent="0.25">
      <c r="B105">
        <v>75</v>
      </c>
      <c r="E105">
        <v>89</v>
      </c>
    </row>
    <row r="106" spans="2:5" x14ac:dyDescent="0.25">
      <c r="B106">
        <v>73</v>
      </c>
      <c r="E106">
        <v>95</v>
      </c>
    </row>
    <row r="107" spans="2:5" x14ac:dyDescent="0.25">
      <c r="B107">
        <v>66</v>
      </c>
      <c r="E107">
        <v>79</v>
      </c>
    </row>
    <row r="108" spans="2:5" x14ac:dyDescent="0.25">
      <c r="B108">
        <v>61</v>
      </c>
      <c r="E108">
        <v>59</v>
      </c>
    </row>
    <row r="109" spans="2:5" x14ac:dyDescent="0.25">
      <c r="B109">
        <v>73</v>
      </c>
      <c r="E109">
        <v>91</v>
      </c>
    </row>
    <row r="110" spans="2:5" x14ac:dyDescent="0.25">
      <c r="B110">
        <v>80</v>
      </c>
      <c r="E110">
        <v>74</v>
      </c>
    </row>
    <row r="111" spans="2:5" x14ac:dyDescent="0.25">
      <c r="B111">
        <v>58</v>
      </c>
      <c r="E111">
        <v>76</v>
      </c>
    </row>
    <row r="112" spans="2:5" x14ac:dyDescent="0.25">
      <c r="B112">
        <v>47</v>
      </c>
      <c r="E112">
        <v>76</v>
      </c>
    </row>
    <row r="113" spans="2:5" x14ac:dyDescent="0.25">
      <c r="B113">
        <v>70</v>
      </c>
      <c r="E113">
        <v>51</v>
      </c>
    </row>
    <row r="114" spans="2:5" x14ac:dyDescent="0.25">
      <c r="B114">
        <v>74</v>
      </c>
      <c r="E114">
        <v>91</v>
      </c>
    </row>
    <row r="115" spans="2:5" x14ac:dyDescent="0.25">
      <c r="B115">
        <v>86</v>
      </c>
      <c r="E115">
        <v>85</v>
      </c>
    </row>
    <row r="116" spans="2:5" x14ac:dyDescent="0.25">
      <c r="B116">
        <v>81</v>
      </c>
      <c r="E116">
        <v>68</v>
      </c>
    </row>
    <row r="117" spans="2:5" x14ac:dyDescent="0.25">
      <c r="B117">
        <v>46</v>
      </c>
    </row>
    <row r="118" spans="2:5" x14ac:dyDescent="0.25">
      <c r="B118">
        <v>75</v>
      </c>
    </row>
    <row r="119" spans="2:5" x14ac:dyDescent="0.25">
      <c r="B119">
        <v>42</v>
      </c>
    </row>
    <row r="120" spans="2:5" x14ac:dyDescent="0.25">
      <c r="B120">
        <v>50</v>
      </c>
    </row>
    <row r="121" spans="2:5" x14ac:dyDescent="0.25">
      <c r="B121">
        <v>74</v>
      </c>
    </row>
    <row r="122" spans="2:5" x14ac:dyDescent="0.25">
      <c r="B122">
        <v>51</v>
      </c>
    </row>
    <row r="123" spans="2:5" x14ac:dyDescent="0.25">
      <c r="B123">
        <v>85</v>
      </c>
    </row>
    <row r="124" spans="2:5" x14ac:dyDescent="0.25">
      <c r="B124">
        <v>80</v>
      </c>
    </row>
    <row r="125" spans="2:5" x14ac:dyDescent="0.25">
      <c r="B125">
        <v>73</v>
      </c>
    </row>
    <row r="126" spans="2:5" x14ac:dyDescent="0.25">
      <c r="B126">
        <v>70</v>
      </c>
    </row>
    <row r="127" spans="2:5" x14ac:dyDescent="0.25">
      <c r="B127">
        <v>90</v>
      </c>
    </row>
    <row r="128" spans="2:5" x14ac:dyDescent="0.25">
      <c r="B128">
        <v>81</v>
      </c>
    </row>
    <row r="129" spans="2:17" x14ac:dyDescent="0.25">
      <c r="B129">
        <v>94</v>
      </c>
    </row>
    <row r="135" spans="2:17" ht="31.5" x14ac:dyDescent="0.5">
      <c r="B135" s="5" t="s">
        <v>35</v>
      </c>
    </row>
    <row r="136" spans="2:17" x14ac:dyDescent="0.25">
      <c r="B136" t="s">
        <v>272</v>
      </c>
    </row>
    <row r="139" spans="2:17" s="2" customFormat="1" ht="21" x14ac:dyDescent="0.35">
      <c r="B139" s="2" t="s">
        <v>234</v>
      </c>
      <c r="C139" s="7" t="s">
        <v>0</v>
      </c>
      <c r="D139" s="7" t="s">
        <v>1</v>
      </c>
      <c r="E139" s="7" t="s">
        <v>2</v>
      </c>
      <c r="F139" s="7" t="s">
        <v>3</v>
      </c>
      <c r="G139" s="7" t="s">
        <v>4</v>
      </c>
      <c r="H139" s="7" t="s">
        <v>5</v>
      </c>
      <c r="I139" s="7" t="s">
        <v>6</v>
      </c>
      <c r="J139" s="7" t="s">
        <v>7</v>
      </c>
      <c r="K139" s="7" t="s">
        <v>8</v>
      </c>
      <c r="L139" s="7" t="s">
        <v>9</v>
      </c>
      <c r="M139" s="7" t="s">
        <v>10</v>
      </c>
      <c r="N139" s="7" t="s">
        <v>11</v>
      </c>
      <c r="O139" s="7" t="s">
        <v>12</v>
      </c>
      <c r="P139" s="7"/>
      <c r="Q139" s="7"/>
    </row>
    <row r="140" spans="2:17" x14ac:dyDescent="0.25">
      <c r="B140">
        <v>1</v>
      </c>
      <c r="C140">
        <v>0.48333300000000001</v>
      </c>
      <c r="D140">
        <v>0.5</v>
      </c>
      <c r="E140">
        <v>0.90555600000000003</v>
      </c>
      <c r="F140">
        <v>1.2222219999999999</v>
      </c>
      <c r="G140">
        <v>1.3333330000000001</v>
      </c>
      <c r="H140">
        <v>1.2222219999999999</v>
      </c>
      <c r="I140">
        <v>1.3333330000000001</v>
      </c>
      <c r="J140">
        <v>0.63333300000000003</v>
      </c>
      <c r="K140">
        <v>0.66666700000000001</v>
      </c>
      <c r="L140">
        <v>0.416348</v>
      </c>
      <c r="M140">
        <v>0.481151</v>
      </c>
      <c r="N140">
        <v>0.29281400000000002</v>
      </c>
      <c r="O140">
        <v>0.32007600000000003</v>
      </c>
    </row>
    <row r="141" spans="2:17" x14ac:dyDescent="0.25">
      <c r="B141">
        <v>3</v>
      </c>
      <c r="C141">
        <v>0.63970800000000005</v>
      </c>
      <c r="D141">
        <v>0.83</v>
      </c>
      <c r="E141">
        <v>0.7</v>
      </c>
      <c r="F141">
        <v>0.8</v>
      </c>
      <c r="G141">
        <v>0.8</v>
      </c>
      <c r="H141">
        <v>0.73333300000000001</v>
      </c>
      <c r="I141">
        <v>0.8</v>
      </c>
      <c r="J141">
        <v>0.28571400000000002</v>
      </c>
      <c r="K141">
        <v>0.28571400000000002</v>
      </c>
    </row>
    <row r="142" spans="2:17" x14ac:dyDescent="0.25">
      <c r="B142">
        <v>5</v>
      </c>
      <c r="C142">
        <v>0.52500000000000002</v>
      </c>
      <c r="D142">
        <v>0.83</v>
      </c>
      <c r="E142">
        <v>0.88888900000000004</v>
      </c>
      <c r="F142">
        <v>0.86666699999999997</v>
      </c>
      <c r="G142">
        <v>1</v>
      </c>
      <c r="H142">
        <v>0.91666700000000001</v>
      </c>
      <c r="I142">
        <v>1</v>
      </c>
      <c r="J142">
        <v>0.56944399999999995</v>
      </c>
      <c r="K142">
        <v>0.75</v>
      </c>
      <c r="L142">
        <v>0.40538200000000002</v>
      </c>
      <c r="M142">
        <v>0.45833299999999999</v>
      </c>
    </row>
    <row r="143" spans="2:17" x14ac:dyDescent="0.25">
      <c r="B143">
        <v>6</v>
      </c>
      <c r="C143">
        <v>0.77333300000000005</v>
      </c>
      <c r="D143">
        <v>1.25</v>
      </c>
    </row>
    <row r="144" spans="2:17" x14ac:dyDescent="0.25">
      <c r="B144">
        <v>8</v>
      </c>
      <c r="C144">
        <v>0.91500000000000004</v>
      </c>
      <c r="D144">
        <v>1</v>
      </c>
      <c r="E144">
        <v>1.111111</v>
      </c>
      <c r="F144">
        <v>1.0125</v>
      </c>
      <c r="G144">
        <v>1.5</v>
      </c>
      <c r="H144">
        <v>1.1527780000000001</v>
      </c>
      <c r="I144">
        <v>1.3333330000000001</v>
      </c>
      <c r="J144">
        <v>0.5</v>
      </c>
      <c r="K144">
        <v>0.5</v>
      </c>
      <c r="L144">
        <v>0.22846</v>
      </c>
      <c r="M144">
        <v>0.24303</v>
      </c>
    </row>
    <row r="145" spans="2:15" x14ac:dyDescent="0.25">
      <c r="B145">
        <v>9</v>
      </c>
      <c r="C145">
        <v>1.46</v>
      </c>
      <c r="D145">
        <v>1.67</v>
      </c>
      <c r="E145">
        <v>1.2777780000000001</v>
      </c>
      <c r="F145">
        <v>1.3055559999999999</v>
      </c>
      <c r="G145">
        <v>1.3333330000000001</v>
      </c>
      <c r="H145">
        <v>1.3055559999999999</v>
      </c>
      <c r="I145">
        <v>1.3333330000000001</v>
      </c>
      <c r="J145">
        <v>0.78333299999999995</v>
      </c>
      <c r="K145">
        <v>0.8</v>
      </c>
      <c r="L145">
        <v>0.694963</v>
      </c>
      <c r="M145">
        <v>0.80833299999999997</v>
      </c>
      <c r="N145">
        <v>0.48466900000000002</v>
      </c>
      <c r="O145">
        <v>0.56031699999999995</v>
      </c>
    </row>
    <row r="146" spans="2:15" x14ac:dyDescent="0.25">
      <c r="B146">
        <v>12</v>
      </c>
      <c r="C146">
        <v>1.25</v>
      </c>
      <c r="D146">
        <v>1.5</v>
      </c>
      <c r="E146">
        <v>0.8</v>
      </c>
      <c r="F146">
        <v>0.214286</v>
      </c>
      <c r="G146">
        <v>0.214286</v>
      </c>
      <c r="H146">
        <v>9.6970000000000001E-2</v>
      </c>
      <c r="I146">
        <v>0.1</v>
      </c>
    </row>
    <row r="147" spans="2:15" x14ac:dyDescent="0.25">
      <c r="B147">
        <v>13</v>
      </c>
      <c r="C147">
        <v>0.93333299999999997</v>
      </c>
      <c r="D147">
        <v>1.67</v>
      </c>
      <c r="E147">
        <v>0.4</v>
      </c>
      <c r="F147">
        <v>0.64761899999999994</v>
      </c>
      <c r="G147">
        <v>0.8</v>
      </c>
      <c r="H147">
        <v>0.45767200000000002</v>
      </c>
      <c r="I147">
        <v>0.5</v>
      </c>
    </row>
    <row r="148" spans="2:15" x14ac:dyDescent="0.25">
      <c r="B148">
        <v>14</v>
      </c>
      <c r="C148">
        <v>1.1666669999999999</v>
      </c>
      <c r="D148">
        <v>1.25</v>
      </c>
      <c r="E148">
        <v>0.704762</v>
      </c>
      <c r="F148">
        <v>0.54814799999999997</v>
      </c>
      <c r="G148">
        <v>0.6</v>
      </c>
      <c r="H148">
        <v>0.51309499999999997</v>
      </c>
      <c r="I148">
        <v>1</v>
      </c>
      <c r="J148">
        <v>0.40178599999999998</v>
      </c>
      <c r="K148">
        <v>0.42857099999999998</v>
      </c>
      <c r="L148">
        <v>0.23342199999999999</v>
      </c>
      <c r="M148">
        <v>0.25747900000000001</v>
      </c>
    </row>
    <row r="149" spans="2:15" x14ac:dyDescent="0.25">
      <c r="B149">
        <v>15</v>
      </c>
      <c r="C149">
        <v>0.82</v>
      </c>
      <c r="D149">
        <v>1</v>
      </c>
      <c r="E149">
        <v>0.33333299999999999</v>
      </c>
      <c r="F149">
        <v>0.72222200000000003</v>
      </c>
      <c r="G149">
        <v>0.75</v>
      </c>
      <c r="H149">
        <v>0.82222200000000001</v>
      </c>
      <c r="I149">
        <v>1</v>
      </c>
      <c r="J149">
        <v>0.73333300000000001</v>
      </c>
      <c r="K149">
        <v>0.8</v>
      </c>
      <c r="L149">
        <v>0.505247</v>
      </c>
      <c r="M149">
        <v>0.53518500000000002</v>
      </c>
    </row>
    <row r="150" spans="2:15" x14ac:dyDescent="0.25">
      <c r="B150">
        <v>16</v>
      </c>
      <c r="C150">
        <v>1.25</v>
      </c>
      <c r="D150">
        <v>1.5</v>
      </c>
      <c r="E150">
        <v>1</v>
      </c>
      <c r="F150">
        <v>1.4444440000000001</v>
      </c>
      <c r="G150">
        <v>2</v>
      </c>
      <c r="H150">
        <v>1.1666669999999999</v>
      </c>
      <c r="I150">
        <v>1.3333330000000001</v>
      </c>
      <c r="J150">
        <v>0.61666699999999997</v>
      </c>
      <c r="K150">
        <v>1</v>
      </c>
      <c r="L150">
        <v>0.50743899999999997</v>
      </c>
      <c r="M150">
        <v>0.67003999999999997</v>
      </c>
      <c r="N150">
        <v>0.39132600000000001</v>
      </c>
      <c r="O150">
        <v>0.47701300000000002</v>
      </c>
    </row>
    <row r="151" spans="2:15" x14ac:dyDescent="0.25">
      <c r="B151">
        <v>17</v>
      </c>
      <c r="C151">
        <v>1.1666669999999999</v>
      </c>
      <c r="D151">
        <v>1.25</v>
      </c>
      <c r="E151">
        <v>1.3333330000000001</v>
      </c>
      <c r="F151">
        <v>1</v>
      </c>
      <c r="G151">
        <v>1</v>
      </c>
      <c r="H151">
        <v>0.58796300000000001</v>
      </c>
      <c r="I151">
        <v>0.75</v>
      </c>
      <c r="J151">
        <v>0.23611099999999999</v>
      </c>
      <c r="K151">
        <v>0.25</v>
      </c>
    </row>
    <row r="152" spans="2:15" x14ac:dyDescent="0.25">
      <c r="B152">
        <v>18</v>
      </c>
      <c r="C152">
        <v>1.1666669999999999</v>
      </c>
      <c r="D152">
        <v>1.25</v>
      </c>
      <c r="E152">
        <v>0.86666699999999997</v>
      </c>
      <c r="F152">
        <v>1.111111</v>
      </c>
      <c r="G152">
        <v>1.3333330000000001</v>
      </c>
    </row>
    <row r="153" spans="2:15" x14ac:dyDescent="0.25">
      <c r="B153">
        <v>19</v>
      </c>
      <c r="C153">
        <v>0.85</v>
      </c>
      <c r="D153">
        <v>1.25</v>
      </c>
      <c r="E153">
        <v>0.5</v>
      </c>
      <c r="F153">
        <v>0.6</v>
      </c>
      <c r="G153">
        <v>1</v>
      </c>
      <c r="H153">
        <v>0.55555600000000005</v>
      </c>
      <c r="I153">
        <v>0.66666700000000001</v>
      </c>
      <c r="J153">
        <v>0.57857099999999995</v>
      </c>
      <c r="K153">
        <v>0.8</v>
      </c>
    </row>
    <row r="154" spans="2:15" x14ac:dyDescent="0.25">
      <c r="B154">
        <v>20</v>
      </c>
      <c r="C154">
        <v>0.63</v>
      </c>
      <c r="D154">
        <v>0.63</v>
      </c>
      <c r="E154">
        <v>0.45238099999999998</v>
      </c>
      <c r="F154">
        <v>0.875</v>
      </c>
      <c r="G154">
        <v>1</v>
      </c>
      <c r="H154">
        <v>0.911111</v>
      </c>
      <c r="I154">
        <v>1.3333330000000001</v>
      </c>
    </row>
    <row r="155" spans="2:15" x14ac:dyDescent="0.25">
      <c r="B155">
        <v>21</v>
      </c>
      <c r="C155">
        <v>1.27</v>
      </c>
      <c r="D155">
        <v>1.33</v>
      </c>
      <c r="E155">
        <v>2</v>
      </c>
      <c r="F155">
        <v>1.5555559999999999</v>
      </c>
      <c r="G155">
        <v>2</v>
      </c>
      <c r="H155">
        <v>1.25</v>
      </c>
      <c r="I155">
        <v>1.3333330000000001</v>
      </c>
      <c r="J155">
        <v>1.111111</v>
      </c>
      <c r="K155">
        <v>1.3333330000000001</v>
      </c>
      <c r="L155">
        <v>0.5625</v>
      </c>
      <c r="M155">
        <v>0.625</v>
      </c>
    </row>
    <row r="156" spans="2:15" x14ac:dyDescent="0.25">
      <c r="B156">
        <v>22</v>
      </c>
      <c r="C156">
        <v>1.02</v>
      </c>
      <c r="D156">
        <v>1.25</v>
      </c>
      <c r="E156">
        <v>1.111111</v>
      </c>
      <c r="F156">
        <v>1.5555559999999999</v>
      </c>
      <c r="G156">
        <v>2</v>
      </c>
      <c r="H156">
        <v>1.5</v>
      </c>
      <c r="I156">
        <v>2</v>
      </c>
      <c r="J156">
        <v>1</v>
      </c>
      <c r="K156">
        <v>1.3333330000000001</v>
      </c>
    </row>
    <row r="157" spans="2:15" x14ac:dyDescent="0.25">
      <c r="B157">
        <v>23</v>
      </c>
      <c r="C157">
        <v>1</v>
      </c>
      <c r="D157">
        <v>1</v>
      </c>
      <c r="E157">
        <v>1.1666669999999999</v>
      </c>
      <c r="F157">
        <v>0.91666700000000001</v>
      </c>
      <c r="G157">
        <v>1</v>
      </c>
      <c r="H157">
        <v>1.3333330000000001</v>
      </c>
      <c r="I157">
        <v>1.3333330000000001</v>
      </c>
      <c r="J157">
        <v>0.76111099999999998</v>
      </c>
      <c r="K157">
        <v>0.83333299999999999</v>
      </c>
      <c r="L157">
        <v>0.81878300000000004</v>
      </c>
      <c r="M157">
        <v>0.93690499999999999</v>
      </c>
      <c r="N157">
        <v>0.57027799999999995</v>
      </c>
      <c r="O157">
        <v>0.67500000000000004</v>
      </c>
    </row>
    <row r="158" spans="2:15" x14ac:dyDescent="0.25">
      <c r="B158">
        <v>25</v>
      </c>
      <c r="C158">
        <v>1.39</v>
      </c>
      <c r="D158">
        <v>1.67</v>
      </c>
    </row>
    <row r="159" spans="2:15" x14ac:dyDescent="0.25">
      <c r="B159">
        <v>26</v>
      </c>
      <c r="C159">
        <v>1.53</v>
      </c>
      <c r="D159">
        <v>1.67</v>
      </c>
      <c r="E159">
        <v>2.6666669999999999</v>
      </c>
      <c r="F159">
        <v>1.3333330000000001</v>
      </c>
      <c r="G159">
        <v>2</v>
      </c>
      <c r="H159">
        <v>1.7777780000000001</v>
      </c>
      <c r="I159">
        <v>2</v>
      </c>
      <c r="J159">
        <v>0.98888900000000002</v>
      </c>
      <c r="K159">
        <v>1.3333330000000001</v>
      </c>
      <c r="L159">
        <v>1.006564</v>
      </c>
      <c r="M159">
        <v>1.338889</v>
      </c>
      <c r="N159">
        <v>1.0116670000000001</v>
      </c>
      <c r="O159">
        <v>1.233333</v>
      </c>
    </row>
    <row r="160" spans="2:15" x14ac:dyDescent="0.25">
      <c r="B160">
        <v>27</v>
      </c>
      <c r="C160">
        <v>0.76333300000000004</v>
      </c>
      <c r="D160">
        <v>0.83</v>
      </c>
      <c r="E160">
        <v>1.2222219999999999</v>
      </c>
      <c r="F160">
        <v>0.9375</v>
      </c>
      <c r="G160">
        <v>1</v>
      </c>
      <c r="H160">
        <v>0.61269799999999996</v>
      </c>
      <c r="I160">
        <v>0.66666700000000001</v>
      </c>
    </row>
    <row r="161" spans="2:25" x14ac:dyDescent="0.25">
      <c r="B161">
        <v>28</v>
      </c>
      <c r="C161">
        <v>1.173333</v>
      </c>
      <c r="D161">
        <v>1.67</v>
      </c>
      <c r="E161">
        <v>1</v>
      </c>
      <c r="F161">
        <v>1.7777780000000001</v>
      </c>
      <c r="G161">
        <v>3</v>
      </c>
      <c r="H161">
        <v>1.75</v>
      </c>
      <c r="I161">
        <v>2</v>
      </c>
      <c r="J161">
        <v>1.138889</v>
      </c>
      <c r="K161">
        <v>1.25</v>
      </c>
      <c r="L161">
        <v>1.052778</v>
      </c>
      <c r="M161">
        <v>1.223611</v>
      </c>
      <c r="N161">
        <v>0.656389</v>
      </c>
      <c r="O161">
        <v>0.73833300000000002</v>
      </c>
    </row>
    <row r="162" spans="2:25" x14ac:dyDescent="0.25">
      <c r="B162">
        <v>30</v>
      </c>
      <c r="C162">
        <v>0.63</v>
      </c>
      <c r="D162">
        <v>0.83</v>
      </c>
      <c r="E162">
        <v>0.93333299999999997</v>
      </c>
      <c r="F162">
        <v>0.6</v>
      </c>
      <c r="G162">
        <v>0.6</v>
      </c>
      <c r="H162">
        <v>0.81944399999999995</v>
      </c>
      <c r="I162">
        <v>1</v>
      </c>
      <c r="J162">
        <v>0.54761899999999997</v>
      </c>
      <c r="K162">
        <v>0.66666700000000001</v>
      </c>
    </row>
    <row r="163" spans="2:25" x14ac:dyDescent="0.25">
      <c r="B163">
        <v>32</v>
      </c>
      <c r="C163">
        <v>1.53</v>
      </c>
      <c r="D163">
        <v>1.67</v>
      </c>
      <c r="E163">
        <v>1.7777780000000001</v>
      </c>
      <c r="F163">
        <v>1.0277780000000001</v>
      </c>
      <c r="G163">
        <v>1.3333330000000001</v>
      </c>
      <c r="H163">
        <v>1.5555559999999999</v>
      </c>
      <c r="I163">
        <v>2</v>
      </c>
      <c r="J163">
        <v>0.89583299999999999</v>
      </c>
      <c r="K163">
        <v>1</v>
      </c>
      <c r="L163">
        <v>0.34311700000000001</v>
      </c>
      <c r="M163">
        <v>0.41587299999999999</v>
      </c>
      <c r="N163">
        <v>0.276563</v>
      </c>
      <c r="O163">
        <v>0.318355</v>
      </c>
    </row>
    <row r="164" spans="2:25" x14ac:dyDescent="0.25">
      <c r="B164">
        <v>33</v>
      </c>
      <c r="C164">
        <v>1.2925</v>
      </c>
      <c r="D164">
        <v>1.67</v>
      </c>
      <c r="E164">
        <v>1.5555559999999999</v>
      </c>
      <c r="F164">
        <v>1.0555559999999999</v>
      </c>
      <c r="G164">
        <v>1.3333330000000001</v>
      </c>
      <c r="H164">
        <v>1</v>
      </c>
      <c r="I164">
        <v>1</v>
      </c>
      <c r="J164">
        <v>0.55000000000000004</v>
      </c>
      <c r="K164">
        <v>0.6</v>
      </c>
      <c r="L164">
        <v>0.406059</v>
      </c>
      <c r="M164">
        <v>0.47936499999999999</v>
      </c>
      <c r="N164">
        <v>0.19548399999999999</v>
      </c>
      <c r="O164">
        <v>0.2</v>
      </c>
    </row>
    <row r="165" spans="2:25" x14ac:dyDescent="0.25">
      <c r="B165">
        <v>36</v>
      </c>
      <c r="C165">
        <v>0.90333300000000005</v>
      </c>
      <c r="D165">
        <v>1</v>
      </c>
      <c r="E165">
        <v>1.111111</v>
      </c>
      <c r="F165">
        <v>0.6875</v>
      </c>
      <c r="G165">
        <v>1</v>
      </c>
      <c r="H165">
        <v>1.2222219999999999</v>
      </c>
      <c r="I165">
        <v>1.3333330000000001</v>
      </c>
      <c r="J165">
        <v>0.83333299999999999</v>
      </c>
      <c r="K165">
        <v>1</v>
      </c>
      <c r="L165">
        <v>0.68629300000000004</v>
      </c>
      <c r="M165">
        <v>0.75</v>
      </c>
      <c r="N165">
        <v>0.472831</v>
      </c>
      <c r="O165">
        <v>0.52</v>
      </c>
    </row>
    <row r="166" spans="2:25" ht="21" x14ac:dyDescent="0.35">
      <c r="B166">
        <v>37</v>
      </c>
      <c r="C166">
        <v>1.5649999999999999</v>
      </c>
      <c r="D166">
        <v>1.67</v>
      </c>
      <c r="E166">
        <v>1.4444440000000001</v>
      </c>
      <c r="F166">
        <v>1.25</v>
      </c>
      <c r="G166">
        <v>1.5</v>
      </c>
      <c r="H166">
        <v>1.1000000000000001</v>
      </c>
      <c r="I166">
        <v>1.3333330000000001</v>
      </c>
      <c r="J166">
        <v>0.82222200000000001</v>
      </c>
      <c r="K166">
        <v>1</v>
      </c>
      <c r="L166">
        <v>0.33291399999999999</v>
      </c>
      <c r="M166">
        <v>0.365064</v>
      </c>
      <c r="T166" s="2"/>
      <c r="U166" s="2"/>
      <c r="V166" s="2"/>
    </row>
    <row r="167" spans="2:25" x14ac:dyDescent="0.25">
      <c r="B167">
        <v>38</v>
      </c>
      <c r="C167">
        <v>1.53</v>
      </c>
      <c r="D167">
        <v>1.67</v>
      </c>
      <c r="E167">
        <v>2.5</v>
      </c>
      <c r="F167">
        <v>1.1666669999999999</v>
      </c>
      <c r="G167">
        <v>1.5</v>
      </c>
      <c r="H167">
        <v>1.0416669999999999</v>
      </c>
      <c r="I167">
        <v>1.125</v>
      </c>
      <c r="J167">
        <v>0.82499999999999996</v>
      </c>
      <c r="K167">
        <v>0.875</v>
      </c>
      <c r="L167">
        <v>0.6069</v>
      </c>
      <c r="M167">
        <v>0.68571400000000005</v>
      </c>
      <c r="N167">
        <v>0.29784699999999997</v>
      </c>
      <c r="O167">
        <v>0.315556</v>
      </c>
    </row>
    <row r="168" spans="2:25" x14ac:dyDescent="0.25">
      <c r="B168">
        <v>39</v>
      </c>
      <c r="C168">
        <v>1.02</v>
      </c>
      <c r="D168">
        <v>1.25</v>
      </c>
      <c r="E168">
        <v>1.1666669999999999</v>
      </c>
      <c r="F168">
        <v>1.25</v>
      </c>
      <c r="G168">
        <v>2</v>
      </c>
      <c r="H168">
        <v>0.51388900000000004</v>
      </c>
      <c r="I168">
        <v>0.66666700000000001</v>
      </c>
    </row>
    <row r="169" spans="2:25" ht="21" x14ac:dyDescent="0.35">
      <c r="B169">
        <v>40</v>
      </c>
      <c r="C169">
        <v>1.615</v>
      </c>
      <c r="D169">
        <v>2.5</v>
      </c>
      <c r="E169">
        <v>2</v>
      </c>
      <c r="F169">
        <v>1.5</v>
      </c>
      <c r="G169">
        <v>2</v>
      </c>
      <c r="H169">
        <v>1.5</v>
      </c>
      <c r="I169">
        <v>1.5</v>
      </c>
      <c r="J169">
        <v>1.138889</v>
      </c>
      <c r="K169">
        <v>1.25</v>
      </c>
      <c r="L169">
        <v>0.49623</v>
      </c>
      <c r="M169">
        <v>0.65454500000000004</v>
      </c>
      <c r="Q169" s="2"/>
      <c r="S169" s="2"/>
      <c r="W169" s="2"/>
      <c r="X169" s="2"/>
      <c r="Y169" s="2"/>
    </row>
    <row r="170" spans="2:25" x14ac:dyDescent="0.25">
      <c r="B170">
        <v>42</v>
      </c>
      <c r="C170">
        <v>1.39</v>
      </c>
      <c r="D170">
        <v>1.67</v>
      </c>
    </row>
    <row r="171" spans="2:25" x14ac:dyDescent="0.25">
      <c r="B171">
        <v>43</v>
      </c>
      <c r="C171">
        <v>1.875</v>
      </c>
      <c r="D171">
        <v>2.5</v>
      </c>
      <c r="E171">
        <v>2</v>
      </c>
      <c r="F171">
        <v>1.1666669999999999</v>
      </c>
      <c r="G171">
        <v>1.5</v>
      </c>
      <c r="H171">
        <v>1.9166669999999999</v>
      </c>
      <c r="I171">
        <v>2.25</v>
      </c>
      <c r="J171">
        <v>0.76587300000000003</v>
      </c>
      <c r="K171">
        <v>0.83333299999999999</v>
      </c>
      <c r="L171">
        <v>0.59492400000000001</v>
      </c>
      <c r="M171">
        <v>0.68055600000000005</v>
      </c>
      <c r="N171">
        <v>0.25707799999999997</v>
      </c>
      <c r="O171">
        <v>0.27015899999999998</v>
      </c>
    </row>
    <row r="172" spans="2:25" x14ac:dyDescent="0.25">
      <c r="B172">
        <v>44</v>
      </c>
      <c r="C172">
        <v>2.085</v>
      </c>
      <c r="D172">
        <v>2.5</v>
      </c>
      <c r="E172">
        <v>1.1666669999999999</v>
      </c>
      <c r="F172">
        <v>1</v>
      </c>
      <c r="G172">
        <v>1</v>
      </c>
      <c r="H172">
        <v>0.82291700000000001</v>
      </c>
      <c r="I172">
        <v>1</v>
      </c>
      <c r="J172">
        <v>0.776389</v>
      </c>
      <c r="K172">
        <v>0.87777799999999995</v>
      </c>
      <c r="L172">
        <v>0.53856099999999996</v>
      </c>
      <c r="M172">
        <v>0.60177499999999995</v>
      </c>
    </row>
    <row r="173" spans="2:25" x14ac:dyDescent="0.25">
      <c r="B173">
        <v>45</v>
      </c>
      <c r="C173">
        <v>2.835</v>
      </c>
      <c r="D173">
        <v>4</v>
      </c>
      <c r="E173">
        <v>1.611111</v>
      </c>
      <c r="F173">
        <v>1</v>
      </c>
      <c r="G173">
        <v>1</v>
      </c>
      <c r="H173">
        <v>1.0833330000000001</v>
      </c>
      <c r="I173">
        <v>1.25</v>
      </c>
      <c r="J173">
        <v>0.65912700000000002</v>
      </c>
      <c r="K173">
        <v>0.78333299999999995</v>
      </c>
    </row>
    <row r="174" spans="2:25" x14ac:dyDescent="0.25">
      <c r="B174">
        <v>47</v>
      </c>
      <c r="C174">
        <v>2.4175</v>
      </c>
      <c r="D174">
        <v>3</v>
      </c>
      <c r="E174">
        <v>1</v>
      </c>
      <c r="F174">
        <v>0.8</v>
      </c>
      <c r="G174">
        <v>1.3333330000000001</v>
      </c>
      <c r="H174">
        <v>0.55625000000000002</v>
      </c>
      <c r="I174">
        <v>0.625</v>
      </c>
      <c r="J174">
        <v>0.294821</v>
      </c>
      <c r="K174">
        <v>0.32</v>
      </c>
    </row>
    <row r="175" spans="2:25" x14ac:dyDescent="0.25">
      <c r="B175">
        <v>48</v>
      </c>
      <c r="C175">
        <v>1.5425</v>
      </c>
      <c r="D175">
        <v>2</v>
      </c>
      <c r="E175">
        <v>0.95833299999999999</v>
      </c>
      <c r="F175">
        <v>0.8</v>
      </c>
      <c r="G175">
        <v>0.8</v>
      </c>
      <c r="H175">
        <v>0.59821400000000002</v>
      </c>
      <c r="I175">
        <v>0.625</v>
      </c>
    </row>
    <row r="176" spans="2:25" x14ac:dyDescent="0.25">
      <c r="B176">
        <v>49</v>
      </c>
      <c r="C176">
        <v>2.2233329999999998</v>
      </c>
      <c r="D176">
        <v>2.5</v>
      </c>
      <c r="E176">
        <v>0.91666700000000001</v>
      </c>
      <c r="F176">
        <v>1.5555559999999999</v>
      </c>
      <c r="G176">
        <v>2</v>
      </c>
    </row>
    <row r="177" spans="2:15" x14ac:dyDescent="0.25">
      <c r="B177">
        <v>50</v>
      </c>
      <c r="C177">
        <v>2.0425</v>
      </c>
      <c r="D177">
        <v>2.5</v>
      </c>
      <c r="E177">
        <v>1</v>
      </c>
      <c r="F177">
        <v>0.588889</v>
      </c>
      <c r="G177">
        <v>0.66666700000000001</v>
      </c>
      <c r="H177">
        <v>0.33333299999999999</v>
      </c>
      <c r="I177">
        <v>0.33333299999999999</v>
      </c>
      <c r="J177">
        <v>0.177648</v>
      </c>
      <c r="K177">
        <v>0.18486</v>
      </c>
    </row>
    <row r="178" spans="2:15" x14ac:dyDescent="0.25">
      <c r="B178">
        <v>51</v>
      </c>
      <c r="C178">
        <v>1.4466669999999999</v>
      </c>
      <c r="D178">
        <v>1.67</v>
      </c>
      <c r="E178">
        <v>1.611111</v>
      </c>
      <c r="F178">
        <v>0.91666700000000001</v>
      </c>
      <c r="G178">
        <v>1</v>
      </c>
      <c r="H178">
        <v>0.62916700000000003</v>
      </c>
      <c r="I178">
        <v>1</v>
      </c>
      <c r="J178">
        <v>0.37486700000000001</v>
      </c>
      <c r="K178">
        <v>0.44751099999999999</v>
      </c>
      <c r="L178">
        <v>0.149647</v>
      </c>
      <c r="M178">
        <v>0.15381400000000001</v>
      </c>
    </row>
    <row r="179" spans="2:15" x14ac:dyDescent="0.25">
      <c r="B179">
        <v>52</v>
      </c>
      <c r="C179">
        <v>1.67</v>
      </c>
      <c r="D179">
        <v>1.67</v>
      </c>
      <c r="E179">
        <v>0.45</v>
      </c>
    </row>
    <row r="180" spans="2:15" x14ac:dyDescent="0.25">
      <c r="B180">
        <v>53</v>
      </c>
      <c r="C180">
        <v>1</v>
      </c>
      <c r="D180">
        <v>1</v>
      </c>
    </row>
    <row r="181" spans="2:15" x14ac:dyDescent="0.25">
      <c r="B181">
        <v>54</v>
      </c>
      <c r="C181">
        <v>1.89</v>
      </c>
      <c r="D181">
        <v>2</v>
      </c>
      <c r="E181">
        <v>1.375</v>
      </c>
      <c r="F181">
        <v>1.5</v>
      </c>
      <c r="G181">
        <v>2</v>
      </c>
      <c r="H181">
        <v>1.2777780000000001</v>
      </c>
      <c r="I181">
        <v>1.5</v>
      </c>
      <c r="J181">
        <v>0.95833299999999999</v>
      </c>
      <c r="K181">
        <v>1</v>
      </c>
    </row>
    <row r="182" spans="2:15" x14ac:dyDescent="0.25">
      <c r="B182">
        <v>56</v>
      </c>
      <c r="C182">
        <v>1.0833330000000001</v>
      </c>
      <c r="D182">
        <v>1.25</v>
      </c>
      <c r="E182">
        <v>0.55000000000000004</v>
      </c>
      <c r="F182">
        <v>0.68333299999999997</v>
      </c>
      <c r="G182">
        <v>0.7</v>
      </c>
      <c r="H182">
        <v>0.55000000000000004</v>
      </c>
      <c r="I182">
        <v>0.6</v>
      </c>
      <c r="J182">
        <v>0.195244</v>
      </c>
      <c r="K182">
        <v>0.221022</v>
      </c>
    </row>
    <row r="183" spans="2:15" x14ac:dyDescent="0.25">
      <c r="B183">
        <v>57</v>
      </c>
      <c r="C183">
        <v>1.25</v>
      </c>
      <c r="D183">
        <v>1.5</v>
      </c>
      <c r="E183">
        <v>1.125</v>
      </c>
      <c r="F183">
        <v>1.125</v>
      </c>
      <c r="G183">
        <v>1.5</v>
      </c>
      <c r="H183">
        <v>0.85</v>
      </c>
      <c r="I183">
        <v>1</v>
      </c>
      <c r="J183">
        <v>0.87905100000000003</v>
      </c>
      <c r="K183">
        <v>1.0625</v>
      </c>
      <c r="L183">
        <v>0.79650799999999999</v>
      </c>
      <c r="M183">
        <v>1</v>
      </c>
      <c r="N183">
        <v>0.40809499999999999</v>
      </c>
      <c r="O183">
        <v>0.43809500000000001</v>
      </c>
    </row>
    <row r="184" spans="2:15" x14ac:dyDescent="0.25">
      <c r="B184">
        <v>58</v>
      </c>
      <c r="C184">
        <v>0.32666699999999999</v>
      </c>
      <c r="D184">
        <v>0.36</v>
      </c>
      <c r="E184">
        <v>1.111111</v>
      </c>
      <c r="F184">
        <v>0.71111100000000005</v>
      </c>
      <c r="G184">
        <v>1</v>
      </c>
      <c r="H184">
        <v>0.92916699999999997</v>
      </c>
      <c r="I184">
        <v>1.5</v>
      </c>
      <c r="J184">
        <v>0.62162700000000004</v>
      </c>
      <c r="K184">
        <v>0.704762</v>
      </c>
      <c r="L184">
        <v>0.45815800000000001</v>
      </c>
      <c r="M184">
        <v>0.48161599999999999</v>
      </c>
      <c r="N184">
        <v>0.2</v>
      </c>
      <c r="O184">
        <v>0.2</v>
      </c>
    </row>
    <row r="185" spans="2:15" x14ac:dyDescent="0.25">
      <c r="B185">
        <v>59</v>
      </c>
      <c r="C185">
        <v>1.0625</v>
      </c>
      <c r="D185">
        <v>1.25</v>
      </c>
    </row>
    <row r="186" spans="2:15" x14ac:dyDescent="0.25">
      <c r="B186">
        <v>60</v>
      </c>
      <c r="E186">
        <v>1.25</v>
      </c>
      <c r="F186">
        <v>0.51428600000000002</v>
      </c>
      <c r="G186">
        <v>0.6</v>
      </c>
      <c r="H186">
        <v>1</v>
      </c>
      <c r="I186">
        <v>1</v>
      </c>
      <c r="J186">
        <v>0.62136199999999997</v>
      </c>
      <c r="K186">
        <v>0.72420600000000002</v>
      </c>
      <c r="L186">
        <v>0.388492</v>
      </c>
      <c r="M186">
        <v>0.140873</v>
      </c>
    </row>
    <row r="187" spans="2:15" x14ac:dyDescent="0.25">
      <c r="B187">
        <v>71</v>
      </c>
      <c r="C187">
        <v>0.56000000000000005</v>
      </c>
      <c r="D187">
        <v>0.56000000000000005</v>
      </c>
    </row>
    <row r="188" spans="2:15" x14ac:dyDescent="0.25">
      <c r="B188">
        <v>73</v>
      </c>
      <c r="C188">
        <v>0.63</v>
      </c>
      <c r="D188">
        <v>0.63</v>
      </c>
      <c r="E188">
        <v>0.67500000000000004</v>
      </c>
    </row>
    <row r="189" spans="2:15" x14ac:dyDescent="0.25">
      <c r="B189">
        <v>74</v>
      </c>
      <c r="C189">
        <v>1</v>
      </c>
      <c r="D189">
        <v>1</v>
      </c>
      <c r="E189">
        <v>1</v>
      </c>
      <c r="F189">
        <v>1.2777780000000001</v>
      </c>
      <c r="G189">
        <v>1.5</v>
      </c>
      <c r="H189">
        <v>0.44523800000000002</v>
      </c>
      <c r="I189">
        <v>0.75</v>
      </c>
      <c r="J189">
        <v>0.42004000000000002</v>
      </c>
      <c r="K189">
        <v>0.50749999999999995</v>
      </c>
    </row>
    <row r="190" spans="2:15" x14ac:dyDescent="0.25">
      <c r="B190">
        <v>75</v>
      </c>
      <c r="C190">
        <v>0.25</v>
      </c>
      <c r="D190">
        <v>0.25</v>
      </c>
      <c r="E190">
        <v>0.8</v>
      </c>
      <c r="F190">
        <v>0.9375</v>
      </c>
      <c r="G190">
        <v>1</v>
      </c>
    </row>
    <row r="191" spans="2:15" x14ac:dyDescent="0.25">
      <c r="B191">
        <v>76</v>
      </c>
      <c r="E191">
        <v>0.67500000000000004</v>
      </c>
    </row>
    <row r="192" spans="2:15" x14ac:dyDescent="0.25">
      <c r="B192">
        <v>77</v>
      </c>
      <c r="C192">
        <v>1.5</v>
      </c>
      <c r="D192">
        <v>1.5</v>
      </c>
      <c r="E192">
        <v>1.125</v>
      </c>
      <c r="F192">
        <v>1.5555559999999999</v>
      </c>
      <c r="G192">
        <v>2</v>
      </c>
      <c r="H192">
        <v>1.2777780000000001</v>
      </c>
      <c r="I192">
        <v>1.5</v>
      </c>
      <c r="J192">
        <v>0.952546</v>
      </c>
      <c r="K192">
        <v>1.1125</v>
      </c>
      <c r="L192">
        <v>0.46452399999999999</v>
      </c>
      <c r="M192">
        <v>0.64</v>
      </c>
      <c r="N192">
        <v>0.36944399999999999</v>
      </c>
      <c r="O192">
        <v>0.40277800000000002</v>
      </c>
    </row>
    <row r="193" spans="2:15" x14ac:dyDescent="0.25">
      <c r="B193">
        <v>78</v>
      </c>
      <c r="C193">
        <v>0.83</v>
      </c>
      <c r="D193">
        <v>1.33</v>
      </c>
    </row>
    <row r="194" spans="2:15" x14ac:dyDescent="0.25">
      <c r="B194">
        <v>79</v>
      </c>
      <c r="C194">
        <v>0.75666699999999998</v>
      </c>
      <c r="D194">
        <v>1</v>
      </c>
      <c r="E194">
        <v>1</v>
      </c>
      <c r="F194">
        <v>1.5555559999999999</v>
      </c>
      <c r="G194">
        <v>2</v>
      </c>
      <c r="H194">
        <v>1.0444439999999999</v>
      </c>
      <c r="I194">
        <v>1.3333330000000001</v>
      </c>
      <c r="J194">
        <v>0.69009600000000004</v>
      </c>
      <c r="K194">
        <v>0.80912700000000004</v>
      </c>
      <c r="L194">
        <v>0.59250000000000003</v>
      </c>
      <c r="M194">
        <v>0.52071400000000001</v>
      </c>
    </row>
    <row r="195" spans="2:15" x14ac:dyDescent="0.25">
      <c r="B195">
        <v>80</v>
      </c>
      <c r="E195">
        <v>0.72222200000000003</v>
      </c>
      <c r="F195">
        <v>0.73333300000000001</v>
      </c>
      <c r="G195">
        <v>0.875</v>
      </c>
      <c r="H195">
        <v>0.8</v>
      </c>
      <c r="I195">
        <v>0.8</v>
      </c>
      <c r="J195">
        <v>0.45221299999999998</v>
      </c>
      <c r="K195">
        <v>0.49904799999999999</v>
      </c>
    </row>
    <row r="196" spans="2:15" x14ac:dyDescent="0.25">
      <c r="B196">
        <v>81</v>
      </c>
      <c r="C196">
        <v>1.6133329999999999</v>
      </c>
      <c r="D196">
        <v>1.67</v>
      </c>
      <c r="E196">
        <v>0.83333299999999999</v>
      </c>
      <c r="F196">
        <v>1</v>
      </c>
      <c r="G196">
        <v>1</v>
      </c>
      <c r="H196">
        <v>0.55555600000000005</v>
      </c>
      <c r="I196">
        <v>0.66666700000000001</v>
      </c>
      <c r="J196">
        <v>0.29380299999999998</v>
      </c>
      <c r="K196">
        <v>0.30555599999999999</v>
      </c>
    </row>
    <row r="197" spans="2:15" x14ac:dyDescent="0.25">
      <c r="B197">
        <v>83</v>
      </c>
      <c r="C197">
        <v>0.34499999999999997</v>
      </c>
      <c r="D197">
        <v>0.44</v>
      </c>
      <c r="E197">
        <v>1.7777780000000001</v>
      </c>
      <c r="F197">
        <v>0.66666700000000001</v>
      </c>
      <c r="G197">
        <v>1</v>
      </c>
      <c r="H197">
        <v>1.7777780000000001</v>
      </c>
      <c r="I197">
        <v>2</v>
      </c>
      <c r="J197">
        <v>0.91608800000000001</v>
      </c>
      <c r="K197">
        <v>1.036111</v>
      </c>
      <c r="L197">
        <v>0.50931499999999996</v>
      </c>
      <c r="M197">
        <v>0.77</v>
      </c>
      <c r="N197">
        <v>0.73888900000000002</v>
      </c>
      <c r="O197">
        <v>0.69666700000000004</v>
      </c>
    </row>
    <row r="198" spans="2:15" x14ac:dyDescent="0.25">
      <c r="B198">
        <v>85</v>
      </c>
      <c r="C198">
        <v>0.14499999999999999</v>
      </c>
      <c r="D198">
        <v>0.15</v>
      </c>
      <c r="E198">
        <v>0.67500000000000004</v>
      </c>
      <c r="F198">
        <v>0.5</v>
      </c>
      <c r="G198">
        <v>0.5</v>
      </c>
      <c r="H198">
        <v>0.8</v>
      </c>
      <c r="I198">
        <v>1</v>
      </c>
      <c r="J198">
        <v>0.60454399999999997</v>
      </c>
      <c r="K198">
        <v>0.75333300000000003</v>
      </c>
      <c r="L198">
        <v>0.75111099999999997</v>
      </c>
      <c r="M198">
        <v>0.51761900000000005</v>
      </c>
    </row>
    <row r="199" spans="2:15" x14ac:dyDescent="0.25">
      <c r="B199">
        <v>86</v>
      </c>
      <c r="C199">
        <v>0.2225</v>
      </c>
      <c r="D199">
        <v>0.28999999999999998</v>
      </c>
      <c r="E199">
        <v>1.611111</v>
      </c>
      <c r="F199">
        <v>0.66666700000000001</v>
      </c>
      <c r="G199">
        <v>1</v>
      </c>
      <c r="H199">
        <v>2.6111110000000002</v>
      </c>
      <c r="I199">
        <v>4</v>
      </c>
      <c r="J199">
        <v>1.048611</v>
      </c>
      <c r="K199">
        <v>1.173611</v>
      </c>
      <c r="L199">
        <v>0.91302899999999998</v>
      </c>
      <c r="M199">
        <v>1.046667</v>
      </c>
      <c r="N199">
        <v>0.62293699999999996</v>
      </c>
      <c r="O199">
        <v>0.73428599999999999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212"/>
  <sheetViews>
    <sheetView topLeftCell="A130" zoomScale="75" zoomScaleNormal="75" workbookViewId="0">
      <selection activeCell="C146" sqref="C146"/>
    </sheetView>
  </sheetViews>
  <sheetFormatPr baseColWidth="10" defaultColWidth="9.140625" defaultRowHeight="15" x14ac:dyDescent="0.25"/>
  <cols>
    <col min="1" max="1" width="15.5703125" customWidth="1"/>
    <col min="2" max="2" width="16.42578125" customWidth="1"/>
    <col min="3" max="3" width="14.85546875" customWidth="1"/>
    <col min="4" max="4" width="14.28515625" customWidth="1"/>
    <col min="5" max="5" width="16.5703125" customWidth="1"/>
    <col min="6" max="6" width="16.28515625" customWidth="1"/>
    <col min="7" max="7" width="15.28515625" customWidth="1"/>
    <col min="8" max="8" width="14" customWidth="1"/>
    <col min="9" max="9" width="15.7109375" customWidth="1"/>
    <col min="10" max="10" width="15.85546875" customWidth="1"/>
    <col min="11" max="11" width="14.42578125" customWidth="1"/>
    <col min="12" max="12" width="13.85546875" customWidth="1"/>
    <col min="13" max="13" width="16.28515625" customWidth="1"/>
    <col min="14" max="14" width="17.42578125" customWidth="1"/>
    <col min="15" max="15" width="15.85546875" customWidth="1"/>
    <col min="16" max="16" width="15.28515625" customWidth="1"/>
    <col min="17" max="17" width="13.140625" customWidth="1"/>
    <col min="58" max="58" width="8.85546875" customWidth="1"/>
    <col min="61" max="61" width="9.28515625" customWidth="1"/>
  </cols>
  <sheetData>
    <row r="2" spans="1:18" ht="31.5" x14ac:dyDescent="0.5">
      <c r="B2" s="5" t="s">
        <v>29</v>
      </c>
    </row>
    <row r="3" spans="1:18" ht="18.75" x14ac:dyDescent="0.3">
      <c r="B3" s="42" t="s">
        <v>273</v>
      </c>
    </row>
    <row r="4" spans="1:18" ht="21" x14ac:dyDescent="0.35">
      <c r="A4" s="24" t="s">
        <v>234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3"/>
    </row>
    <row r="5" spans="1:18" s="22" customFormat="1" ht="19.899999999999999" customHeight="1" x14ac:dyDescent="0.25">
      <c r="A5">
        <v>1</v>
      </c>
      <c r="B5">
        <v>0.97166666666666668</v>
      </c>
      <c r="C5">
        <v>0.98833333333333329</v>
      </c>
      <c r="D5" s="23">
        <v>0.2</v>
      </c>
      <c r="E5">
        <v>0.96666700000000005</v>
      </c>
      <c r="F5">
        <v>0.97499999999999998</v>
      </c>
      <c r="G5">
        <v>0.8833333333333333</v>
      </c>
      <c r="H5" s="23">
        <f>540/600</f>
        <v>0.9</v>
      </c>
      <c r="I5">
        <v>0.83333333300000001</v>
      </c>
      <c r="J5">
        <v>0.95333333333333337</v>
      </c>
      <c r="K5">
        <v>0.1</v>
      </c>
      <c r="L5">
        <v>0.82166666666666666</v>
      </c>
      <c r="M5">
        <v>0.88500000000000001</v>
      </c>
      <c r="N5">
        <v>0</v>
      </c>
      <c r="O5">
        <v>0</v>
      </c>
      <c r="P5">
        <v>0</v>
      </c>
      <c r="Q5">
        <v>0.93</v>
      </c>
      <c r="R5"/>
    </row>
    <row r="6" spans="1:18" x14ac:dyDescent="0.25">
      <c r="A6">
        <v>3</v>
      </c>
      <c r="B6">
        <v>0.95166666666666666</v>
      </c>
      <c r="C6">
        <v>0.97666666666666668</v>
      </c>
      <c r="D6" s="23">
        <v>0.7</v>
      </c>
      <c r="E6">
        <v>0.97166699999999995</v>
      </c>
      <c r="F6">
        <v>0.86166666666666669</v>
      </c>
      <c r="G6">
        <v>0.7</v>
      </c>
      <c r="H6" s="23">
        <f>(600-22)/600</f>
        <v>0.96333333333333337</v>
      </c>
      <c r="I6">
        <v>0.953333333</v>
      </c>
      <c r="J6">
        <v>0.77</v>
      </c>
      <c r="K6">
        <v>0.46666666666666667</v>
      </c>
      <c r="L6">
        <v>0.8666666666666667</v>
      </c>
      <c r="M6">
        <v>0.98499999999999999</v>
      </c>
      <c r="N6">
        <v>9.166666666666666E-2</v>
      </c>
      <c r="O6">
        <v>1.6666666666666666E-2</v>
      </c>
      <c r="Q6">
        <v>0.98166699999999996</v>
      </c>
    </row>
    <row r="7" spans="1:18" x14ac:dyDescent="0.25">
      <c r="A7">
        <v>4</v>
      </c>
      <c r="B7">
        <v>0.96499999999999997</v>
      </c>
      <c r="C7">
        <v>0.92333333333333334</v>
      </c>
      <c r="D7" s="23">
        <v>0.9</v>
      </c>
      <c r="E7">
        <v>0.92666700000000002</v>
      </c>
      <c r="H7" s="23"/>
      <c r="I7">
        <v>0.94666666700000002</v>
      </c>
      <c r="M7">
        <v>0.99666699999999997</v>
      </c>
      <c r="Q7">
        <v>0.968333</v>
      </c>
    </row>
    <row r="8" spans="1:18" x14ac:dyDescent="0.25">
      <c r="A8">
        <v>5</v>
      </c>
      <c r="B8">
        <v>0.98166666666666669</v>
      </c>
      <c r="C8">
        <v>0.99333333333333329</v>
      </c>
      <c r="D8" s="23">
        <v>0.98</v>
      </c>
      <c r="E8">
        <v>0.995</v>
      </c>
      <c r="F8">
        <v>0.79833333333333334</v>
      </c>
      <c r="G8">
        <v>0.93333333333333335</v>
      </c>
      <c r="H8" s="23">
        <f>588/600</f>
        <v>0.98</v>
      </c>
      <c r="I8">
        <v>0.98</v>
      </c>
      <c r="J8">
        <v>0.96333333333333337</v>
      </c>
      <c r="K8">
        <v>0.81666666666666665</v>
      </c>
      <c r="L8">
        <v>0.65</v>
      </c>
      <c r="M8">
        <v>0.98666699999999996</v>
      </c>
      <c r="N8">
        <v>0.66666666666666663</v>
      </c>
      <c r="O8">
        <v>0</v>
      </c>
      <c r="Q8">
        <v>0.99166699999999997</v>
      </c>
    </row>
    <row r="9" spans="1:18" x14ac:dyDescent="0.25">
      <c r="A9">
        <v>6</v>
      </c>
      <c r="B9">
        <v>0</v>
      </c>
      <c r="C9">
        <v>0</v>
      </c>
      <c r="E9">
        <v>0.99333300000000002</v>
      </c>
      <c r="I9">
        <v>0.93666666700000001</v>
      </c>
      <c r="M9">
        <v>0.94666700000000004</v>
      </c>
      <c r="Q9">
        <v>0.973333</v>
      </c>
    </row>
    <row r="10" spans="1:18" x14ac:dyDescent="0.25">
      <c r="A10">
        <v>7</v>
      </c>
      <c r="B10">
        <v>0.98499999999999999</v>
      </c>
      <c r="C10">
        <v>0</v>
      </c>
      <c r="D10" s="23">
        <v>0.94</v>
      </c>
      <c r="E10">
        <v>0.16666700000000001</v>
      </c>
      <c r="H10" s="23"/>
      <c r="I10">
        <v>0.97499999999999998</v>
      </c>
      <c r="M10">
        <v>0.98499999999999999</v>
      </c>
      <c r="Q10">
        <v>0.97833300000000001</v>
      </c>
    </row>
    <row r="11" spans="1:18" x14ac:dyDescent="0.25">
      <c r="A11">
        <v>8</v>
      </c>
      <c r="B11">
        <v>0.96666666666666667</v>
      </c>
      <c r="C11">
        <v>0</v>
      </c>
      <c r="D11" s="23">
        <f>(600-9)/600</f>
        <v>0.98499999999999999</v>
      </c>
      <c r="E11">
        <v>0.99333300000000002</v>
      </c>
      <c r="F11">
        <v>0.97833333333333339</v>
      </c>
      <c r="G11">
        <v>0.97499999999999998</v>
      </c>
      <c r="H11" s="23">
        <f>(600-22)/600</f>
        <v>0.96333333333333337</v>
      </c>
      <c r="I11">
        <v>0.98666666700000005</v>
      </c>
      <c r="J11">
        <v>0.94</v>
      </c>
      <c r="K11">
        <v>0.91666666666666663</v>
      </c>
      <c r="L11">
        <v>0.94833333333333336</v>
      </c>
      <c r="M11">
        <v>0.98666699999999996</v>
      </c>
      <c r="N11">
        <v>0.36666666666666664</v>
      </c>
      <c r="O11">
        <v>0.11666666666666667</v>
      </c>
      <c r="P11">
        <v>0.375</v>
      </c>
      <c r="Q11">
        <v>0.97</v>
      </c>
    </row>
    <row r="12" spans="1:18" x14ac:dyDescent="0.25">
      <c r="A12">
        <v>9</v>
      </c>
      <c r="B12">
        <v>0.98499999999999999</v>
      </c>
      <c r="C12">
        <v>1</v>
      </c>
      <c r="D12" s="23">
        <f>(600-15)/600</f>
        <v>0.97499999999999998</v>
      </c>
      <c r="E12">
        <v>0.98333300000000001</v>
      </c>
      <c r="H12" s="23">
        <f>(600-1)/600</f>
        <v>0.99833333333333329</v>
      </c>
      <c r="I12">
        <v>0</v>
      </c>
      <c r="L12">
        <v>0.98499999999999999</v>
      </c>
      <c r="M12">
        <v>0.98333300000000001</v>
      </c>
      <c r="Q12">
        <v>0.63</v>
      </c>
    </row>
    <row r="13" spans="1:18" x14ac:dyDescent="0.25">
      <c r="A13">
        <v>12</v>
      </c>
      <c r="B13">
        <v>0.98333333333333328</v>
      </c>
      <c r="C13">
        <v>1</v>
      </c>
      <c r="D13" s="23">
        <v>0.97</v>
      </c>
      <c r="E13">
        <v>0.97666699999999995</v>
      </c>
      <c r="F13">
        <v>0.94</v>
      </c>
      <c r="G13">
        <v>0.92500000000000004</v>
      </c>
      <c r="H13" s="23">
        <f>585/600</f>
        <v>0.97499999999999998</v>
      </c>
      <c r="I13">
        <v>0.99666666699999995</v>
      </c>
      <c r="J13">
        <v>0.92166666666666663</v>
      </c>
      <c r="K13">
        <v>0.40833333333333333</v>
      </c>
      <c r="L13">
        <v>0.91333333333333333</v>
      </c>
      <c r="M13">
        <v>0.98833300000000002</v>
      </c>
      <c r="Q13">
        <v>0.96499999999999997</v>
      </c>
    </row>
    <row r="14" spans="1:18" x14ac:dyDescent="0.25">
      <c r="A14">
        <v>13</v>
      </c>
      <c r="B14">
        <v>0</v>
      </c>
      <c r="C14">
        <v>0</v>
      </c>
      <c r="D14" s="23">
        <v>0.98</v>
      </c>
      <c r="E14">
        <v>0.98666699999999996</v>
      </c>
      <c r="F14">
        <v>0.96666666666666667</v>
      </c>
      <c r="G14">
        <v>0.92708333333333337</v>
      </c>
      <c r="H14" s="23">
        <f>585/600</f>
        <v>0.97499999999999998</v>
      </c>
      <c r="I14">
        <v>0.99666666699999995</v>
      </c>
      <c r="J14">
        <v>0.96833333333333338</v>
      </c>
      <c r="K14">
        <v>0.72499999999999998</v>
      </c>
      <c r="L14">
        <v>0.95499999999999996</v>
      </c>
      <c r="M14">
        <v>0.96666700000000005</v>
      </c>
      <c r="Q14">
        <v>0.98333300000000001</v>
      </c>
    </row>
    <row r="15" spans="1:18" x14ac:dyDescent="0.25">
      <c r="A15">
        <v>14</v>
      </c>
      <c r="B15">
        <v>0.9916666666666667</v>
      </c>
      <c r="C15">
        <v>0.98833333333333329</v>
      </c>
      <c r="D15" s="23">
        <v>0.98</v>
      </c>
      <c r="E15">
        <v>0.92166700000000001</v>
      </c>
      <c r="F15">
        <v>0.98666666666666669</v>
      </c>
      <c r="G15">
        <v>8.4745762711864403E-2</v>
      </c>
      <c r="H15" s="23">
        <f>(600-34)/600</f>
        <v>0.94333333333333336</v>
      </c>
      <c r="I15">
        <v>0.96333333300000001</v>
      </c>
      <c r="J15">
        <v>0.2</v>
      </c>
      <c r="K15">
        <v>0.515625</v>
      </c>
      <c r="L15">
        <v>0.98</v>
      </c>
      <c r="M15">
        <v>0.97</v>
      </c>
      <c r="N15">
        <v>0.23333333333333334</v>
      </c>
      <c r="O15">
        <v>0.33596837944664032</v>
      </c>
      <c r="P15">
        <v>0.15</v>
      </c>
      <c r="Q15">
        <v>0.84666699999999995</v>
      </c>
    </row>
    <row r="16" spans="1:18" x14ac:dyDescent="0.25">
      <c r="A16">
        <v>15</v>
      </c>
      <c r="B16">
        <v>0.9916666666666667</v>
      </c>
      <c r="C16">
        <v>0.97499999999999998</v>
      </c>
      <c r="D16" s="23">
        <v>0.99</v>
      </c>
      <c r="E16">
        <v>0.97166699999999995</v>
      </c>
      <c r="F16">
        <v>0.98333333333333328</v>
      </c>
      <c r="G16">
        <v>0.71028037383177567</v>
      </c>
      <c r="H16" s="23">
        <f>595/600</f>
        <v>0.9916666666666667</v>
      </c>
      <c r="I16">
        <v>0.78333333299999997</v>
      </c>
      <c r="J16">
        <v>0.95833333333333337</v>
      </c>
      <c r="K16">
        <v>0.1</v>
      </c>
      <c r="L16">
        <v>0.85833333333333328</v>
      </c>
      <c r="M16">
        <v>0.98499999999999999</v>
      </c>
      <c r="N16">
        <v>0.38333333333333336</v>
      </c>
      <c r="O16">
        <v>0</v>
      </c>
      <c r="P16">
        <v>1.4999999999999999E-2</v>
      </c>
      <c r="Q16">
        <v>0.33666699999999999</v>
      </c>
    </row>
    <row r="17" spans="1:17" x14ac:dyDescent="0.25">
      <c r="A17">
        <v>16</v>
      </c>
      <c r="B17">
        <v>0.97499999999999998</v>
      </c>
      <c r="C17">
        <v>0.97333333333333327</v>
      </c>
      <c r="D17" s="23">
        <v>0.85</v>
      </c>
      <c r="E17">
        <v>0.95499999999999996</v>
      </c>
      <c r="H17" s="23">
        <f>(600-30)/600</f>
        <v>0.95</v>
      </c>
      <c r="I17">
        <v>0.95833333300000001</v>
      </c>
      <c r="L17">
        <v>0.84499999999999997</v>
      </c>
      <c r="M17">
        <v>0.68</v>
      </c>
      <c r="N17">
        <v>0.91666666666666663</v>
      </c>
      <c r="O17">
        <v>0.46692607003891051</v>
      </c>
      <c r="Q17">
        <v>0.776667</v>
      </c>
    </row>
    <row r="18" spans="1:17" x14ac:dyDescent="0.25">
      <c r="A18">
        <v>17</v>
      </c>
      <c r="B18">
        <v>0.96166666666666667</v>
      </c>
      <c r="C18">
        <v>5.0000000000000001E-3</v>
      </c>
      <c r="D18" s="23">
        <v>0.99</v>
      </c>
      <c r="E18">
        <v>0.98499999999999999</v>
      </c>
      <c r="F18">
        <v>0.96666666666666667</v>
      </c>
      <c r="G18">
        <v>0.75490196078431371</v>
      </c>
      <c r="H18" s="23">
        <f>592/600</f>
        <v>0.98666666666666669</v>
      </c>
      <c r="I18">
        <v>0.953333333</v>
      </c>
      <c r="J18">
        <v>3.3333333333333333E-2</v>
      </c>
      <c r="K18">
        <v>6.6666666666666666E-2</v>
      </c>
      <c r="L18">
        <v>6.6666666666666666E-2</v>
      </c>
      <c r="M18">
        <v>0.98166699999999996</v>
      </c>
      <c r="Q18">
        <v>0.95333299999999999</v>
      </c>
    </row>
    <row r="19" spans="1:17" x14ac:dyDescent="0.25">
      <c r="A19">
        <v>18</v>
      </c>
      <c r="B19">
        <v>0</v>
      </c>
      <c r="C19">
        <v>0</v>
      </c>
      <c r="D19" s="23">
        <v>0.98</v>
      </c>
      <c r="E19">
        <v>0.98499999999999999</v>
      </c>
      <c r="F19">
        <v>0.99</v>
      </c>
      <c r="G19">
        <v>0.9916666666666667</v>
      </c>
      <c r="H19" s="23">
        <f>580/600</f>
        <v>0.96666666666666667</v>
      </c>
      <c r="I19">
        <v>0.93833333299999999</v>
      </c>
      <c r="M19">
        <v>0.94166700000000003</v>
      </c>
      <c r="Q19">
        <v>0.98166699999999996</v>
      </c>
    </row>
    <row r="20" spans="1:17" x14ac:dyDescent="0.25">
      <c r="A20">
        <v>19</v>
      </c>
      <c r="B20">
        <v>0.97166666666666668</v>
      </c>
      <c r="C20">
        <v>0.35333333333333333</v>
      </c>
      <c r="D20" s="23">
        <v>0.98</v>
      </c>
      <c r="E20">
        <v>0.98666699999999996</v>
      </c>
      <c r="F20">
        <v>0.68333333333333335</v>
      </c>
      <c r="G20">
        <v>0.16666666666666666</v>
      </c>
      <c r="H20" s="23">
        <f>577/600</f>
        <v>0.96166666666666667</v>
      </c>
      <c r="I20">
        <v>0.99166666699999995</v>
      </c>
      <c r="J20">
        <v>0.97666666666666668</v>
      </c>
      <c r="K20">
        <v>0.9</v>
      </c>
      <c r="L20">
        <v>0.97666666666666668</v>
      </c>
      <c r="M20">
        <v>0.341667</v>
      </c>
      <c r="Q20">
        <v>0.98666699999999996</v>
      </c>
    </row>
    <row r="21" spans="1:17" x14ac:dyDescent="0.25">
      <c r="A21">
        <v>20</v>
      </c>
      <c r="B21">
        <v>9.5055768270351268E-2</v>
      </c>
      <c r="C21">
        <v>0.98166666666666669</v>
      </c>
      <c r="D21" s="23">
        <v>0.98</v>
      </c>
      <c r="E21">
        <v>0.97833300000000001</v>
      </c>
      <c r="F21">
        <v>0.94499999999999995</v>
      </c>
      <c r="G21">
        <v>0.05</v>
      </c>
      <c r="H21" s="23"/>
      <c r="I21">
        <v>0.96666666700000003</v>
      </c>
      <c r="J21">
        <v>0.05</v>
      </c>
      <c r="K21">
        <v>0</v>
      </c>
      <c r="L21">
        <v>0.97499999999999998</v>
      </c>
      <c r="M21">
        <v>0.98333300000000001</v>
      </c>
      <c r="N21">
        <v>0.97833333333333339</v>
      </c>
      <c r="O21">
        <v>0.1171875</v>
      </c>
      <c r="Q21">
        <v>0.98</v>
      </c>
    </row>
    <row r="22" spans="1:17" x14ac:dyDescent="0.25">
      <c r="A22">
        <v>21</v>
      </c>
      <c r="B22">
        <v>0.95499999999999996</v>
      </c>
      <c r="C22">
        <v>0.93333333333333324</v>
      </c>
      <c r="D22" s="23">
        <v>0.78</v>
      </c>
      <c r="E22">
        <v>0.99</v>
      </c>
      <c r="H22" s="23">
        <f>(600-6)/600</f>
        <v>0.99</v>
      </c>
      <c r="I22">
        <v>0.93666666700000001</v>
      </c>
      <c r="J22">
        <v>0.93333333333333335</v>
      </c>
      <c r="K22">
        <v>1.6666666666666666E-2</v>
      </c>
      <c r="L22">
        <v>0.68</v>
      </c>
      <c r="M22">
        <v>0.98</v>
      </c>
      <c r="N22">
        <v>0.77500000000000002</v>
      </c>
      <c r="O22">
        <v>0.85</v>
      </c>
      <c r="P22">
        <v>0.90333333333333332</v>
      </c>
      <c r="Q22">
        <v>0.51500000000000001</v>
      </c>
    </row>
    <row r="23" spans="1:17" x14ac:dyDescent="0.25">
      <c r="A23">
        <v>22</v>
      </c>
      <c r="B23">
        <v>0.95333333333333348</v>
      </c>
      <c r="C23">
        <v>0.97666666666666668</v>
      </c>
      <c r="D23" s="23">
        <v>0.98</v>
      </c>
      <c r="E23">
        <v>0.66666700000000001</v>
      </c>
      <c r="F23">
        <v>0.98333333333333328</v>
      </c>
      <c r="G23">
        <v>0.19811320754716982</v>
      </c>
      <c r="H23" s="23">
        <f>(600-5)/600</f>
        <v>0.9916666666666667</v>
      </c>
      <c r="I23">
        <v>0.98833333300000004</v>
      </c>
      <c r="L23">
        <v>0.99333333333333329</v>
      </c>
      <c r="M23">
        <v>0.973333</v>
      </c>
      <c r="Q23">
        <v>0.93666700000000003</v>
      </c>
    </row>
    <row r="24" spans="1:17" x14ac:dyDescent="0.25">
      <c r="A24">
        <v>23</v>
      </c>
      <c r="B24">
        <v>0</v>
      </c>
      <c r="C24">
        <v>0</v>
      </c>
      <c r="D24" s="23">
        <v>0.99</v>
      </c>
      <c r="E24">
        <v>0.96666700000000005</v>
      </c>
      <c r="F24">
        <v>0.67666666666666664</v>
      </c>
      <c r="G24">
        <v>2.0833333333333332E-2</v>
      </c>
      <c r="H24" s="23">
        <f>585/600</f>
        <v>0.97499999999999998</v>
      </c>
      <c r="I24">
        <v>0.92500000000000004</v>
      </c>
      <c r="J24">
        <v>0.98333333333333328</v>
      </c>
      <c r="K24">
        <v>0.4838709677419355</v>
      </c>
      <c r="L24">
        <v>0.98</v>
      </c>
      <c r="M24">
        <v>0.99666699999999997</v>
      </c>
      <c r="Q24">
        <v>0.98333300000000001</v>
      </c>
    </row>
    <row r="25" spans="1:17" x14ac:dyDescent="0.25">
      <c r="A25">
        <v>25</v>
      </c>
      <c r="B25">
        <v>0.97833333333333339</v>
      </c>
      <c r="C25">
        <v>5.0000000000000001E-3</v>
      </c>
      <c r="D25" s="23">
        <v>0.5</v>
      </c>
      <c r="E25">
        <v>0.93833299999999997</v>
      </c>
      <c r="H25" s="23"/>
      <c r="I25">
        <v>0.99166666699999995</v>
      </c>
      <c r="M25">
        <v>0.99166699999999997</v>
      </c>
      <c r="Q25">
        <v>0.93</v>
      </c>
    </row>
    <row r="26" spans="1:17" x14ac:dyDescent="0.25">
      <c r="A26">
        <v>26</v>
      </c>
      <c r="B26">
        <v>0.98499999999999999</v>
      </c>
      <c r="C26">
        <v>1</v>
      </c>
      <c r="D26" s="23">
        <f>(600-7)/600</f>
        <v>0.98833333333333329</v>
      </c>
      <c r="E26">
        <v>0.99166699999999997</v>
      </c>
      <c r="F26">
        <v>0.96</v>
      </c>
      <c r="G26">
        <v>0.92682926829268297</v>
      </c>
      <c r="H26" s="23">
        <f>592/600</f>
        <v>0.98666666666666669</v>
      </c>
      <c r="I26">
        <v>0.80333333299999998</v>
      </c>
      <c r="J26">
        <v>0.95166666666666666</v>
      </c>
      <c r="K26">
        <v>0.86021505376344087</v>
      </c>
      <c r="L26">
        <v>0.97833333333333339</v>
      </c>
      <c r="M26">
        <v>0.99333300000000002</v>
      </c>
      <c r="N26">
        <v>0.9</v>
      </c>
      <c r="O26">
        <v>5.128205128205128E-2</v>
      </c>
      <c r="P26">
        <v>0.7583333333333333</v>
      </c>
      <c r="Q26">
        <v>0.44166699999999998</v>
      </c>
    </row>
    <row r="27" spans="1:17" x14ac:dyDescent="0.25">
      <c r="A27">
        <v>27</v>
      </c>
      <c r="B27">
        <v>0.98166666666666669</v>
      </c>
      <c r="C27">
        <v>0.98666666666666669</v>
      </c>
      <c r="D27" s="23">
        <v>0.94</v>
      </c>
      <c r="E27">
        <v>0.97499999999999998</v>
      </c>
      <c r="F27">
        <v>0.92833333333333334</v>
      </c>
      <c r="G27">
        <v>0.40404040404040403</v>
      </c>
      <c r="H27" s="23">
        <f>410/600</f>
        <v>0.68333333333333335</v>
      </c>
      <c r="I27">
        <v>0.995</v>
      </c>
      <c r="J27">
        <v>0.92666666666666664</v>
      </c>
      <c r="K27">
        <v>0.89247311827956988</v>
      </c>
      <c r="L27">
        <v>0.97333333333333338</v>
      </c>
      <c r="M27">
        <v>0.95499999999999996</v>
      </c>
      <c r="Q27">
        <v>0.05</v>
      </c>
    </row>
    <row r="28" spans="1:17" x14ac:dyDescent="0.25">
      <c r="A28">
        <v>28</v>
      </c>
      <c r="B28">
        <v>0.97499999999999998</v>
      </c>
      <c r="C28">
        <v>0.10833333333333334</v>
      </c>
      <c r="D28" s="23">
        <f>(600-35)/600</f>
        <v>0.94166666666666665</v>
      </c>
      <c r="E28">
        <v>0.95166700000000004</v>
      </c>
      <c r="H28" s="23">
        <f>(600-30)/600</f>
        <v>0.95</v>
      </c>
      <c r="I28">
        <v>0.96</v>
      </c>
      <c r="J28">
        <v>0.92500000000000004</v>
      </c>
      <c r="K28">
        <v>0.4838709677419355</v>
      </c>
      <c r="L28">
        <v>0.8783333333333333</v>
      </c>
      <c r="M28">
        <v>0.995</v>
      </c>
      <c r="N28">
        <v>0.97833333333333339</v>
      </c>
      <c r="O28">
        <v>0.76923076923076927</v>
      </c>
      <c r="P28">
        <v>0.97166666666666668</v>
      </c>
      <c r="Q28">
        <v>0.95833299999999999</v>
      </c>
    </row>
    <row r="29" spans="1:17" x14ac:dyDescent="0.25">
      <c r="A29">
        <v>30</v>
      </c>
      <c r="B29">
        <v>0</v>
      </c>
      <c r="C29">
        <v>0</v>
      </c>
      <c r="D29" s="23">
        <v>0.998</v>
      </c>
      <c r="E29">
        <v>0.98833300000000002</v>
      </c>
      <c r="F29">
        <v>0.97666666666666668</v>
      </c>
      <c r="G29">
        <v>0.96666666666666667</v>
      </c>
      <c r="H29" s="23">
        <f>(600-43)/600</f>
        <v>0.92833333333333334</v>
      </c>
      <c r="I29">
        <v>0.95833333300000001</v>
      </c>
      <c r="L29">
        <v>0.33333333333333331</v>
      </c>
      <c r="M29">
        <v>0.95333299999999999</v>
      </c>
      <c r="Q29">
        <v>0.63333300000000003</v>
      </c>
    </row>
    <row r="30" spans="1:17" x14ac:dyDescent="0.25">
      <c r="A30">
        <v>32</v>
      </c>
      <c r="B30">
        <v>0.98</v>
      </c>
      <c r="C30">
        <v>0.98333333333333328</v>
      </c>
      <c r="D30" s="23">
        <v>0.98</v>
      </c>
      <c r="E30">
        <v>0.99666699999999997</v>
      </c>
      <c r="F30">
        <v>0.8</v>
      </c>
      <c r="G30">
        <v>0.98333333333333328</v>
      </c>
      <c r="H30" s="23">
        <f>590/600</f>
        <v>0.98333333333333328</v>
      </c>
      <c r="I30">
        <v>0.99333333300000004</v>
      </c>
      <c r="J30">
        <v>0.53333333333333333</v>
      </c>
      <c r="K30">
        <v>0.91666666666666663</v>
      </c>
      <c r="L30">
        <v>0.96166666666666667</v>
      </c>
      <c r="M30">
        <v>0.99833300000000003</v>
      </c>
      <c r="N30">
        <v>0.5</v>
      </c>
      <c r="O30">
        <v>0.17098445595854922</v>
      </c>
      <c r="P30">
        <v>0.85</v>
      </c>
      <c r="Q30">
        <v>0</v>
      </c>
    </row>
    <row r="31" spans="1:17" x14ac:dyDescent="0.25">
      <c r="A31">
        <v>33</v>
      </c>
      <c r="B31">
        <v>0.98</v>
      </c>
      <c r="C31">
        <v>0.97499999999999998</v>
      </c>
      <c r="D31" s="23">
        <f>(600-30)/600</f>
        <v>0.95</v>
      </c>
      <c r="E31">
        <v>0.995</v>
      </c>
      <c r="F31">
        <v>0.97833333333333339</v>
      </c>
      <c r="G31">
        <v>0.91666666666666663</v>
      </c>
      <c r="H31" s="23">
        <f>(600-175)/600</f>
        <v>0.70833333333333337</v>
      </c>
      <c r="I31">
        <v>0.92</v>
      </c>
      <c r="J31">
        <v>0.96333333333333337</v>
      </c>
      <c r="K31">
        <v>0.9</v>
      </c>
      <c r="L31">
        <v>0.97333333333333338</v>
      </c>
      <c r="M31">
        <v>0.95</v>
      </c>
      <c r="P31">
        <v>0.96499999999999997</v>
      </c>
      <c r="Q31">
        <v>0.95499999999999996</v>
      </c>
    </row>
    <row r="32" spans="1:17" x14ac:dyDescent="0.25">
      <c r="A32">
        <v>35</v>
      </c>
      <c r="B32">
        <v>0</v>
      </c>
      <c r="C32">
        <v>0</v>
      </c>
      <c r="D32" s="23"/>
      <c r="E32">
        <v>0.98</v>
      </c>
      <c r="H32" s="23"/>
      <c r="I32">
        <v>0.97833333300000003</v>
      </c>
      <c r="M32">
        <v>0.97499999999999998</v>
      </c>
      <c r="Q32">
        <v>0.97166699999999995</v>
      </c>
    </row>
    <row r="33" spans="1:17" x14ac:dyDescent="0.25">
      <c r="A33">
        <v>36</v>
      </c>
      <c r="B33">
        <v>0.98666666666666669</v>
      </c>
      <c r="C33">
        <v>0.98333333333333328</v>
      </c>
      <c r="D33" s="23">
        <v>0.99</v>
      </c>
      <c r="E33">
        <v>0.973333</v>
      </c>
      <c r="F33">
        <v>0.98</v>
      </c>
      <c r="G33">
        <v>0.56666666666666665</v>
      </c>
      <c r="H33" s="23">
        <v>0</v>
      </c>
      <c r="I33">
        <v>0.97666666700000004</v>
      </c>
      <c r="J33">
        <v>0.97666666666666668</v>
      </c>
      <c r="K33">
        <v>0.91666666666666663</v>
      </c>
      <c r="L33">
        <v>0.98</v>
      </c>
      <c r="M33">
        <v>0.98666699999999996</v>
      </c>
      <c r="N33">
        <v>0.98333333333333328</v>
      </c>
      <c r="O33">
        <v>0</v>
      </c>
      <c r="Q33">
        <v>0</v>
      </c>
    </row>
    <row r="34" spans="1:17" x14ac:dyDescent="0.25">
      <c r="A34">
        <v>37</v>
      </c>
      <c r="B34">
        <v>0.96166666666666667</v>
      </c>
      <c r="C34">
        <v>0.96666666666666667</v>
      </c>
      <c r="D34" s="23">
        <f>(600-30)/600</f>
        <v>0.95</v>
      </c>
      <c r="E34">
        <v>0.98666699999999996</v>
      </c>
      <c r="H34" s="23">
        <f>(600-39)/600</f>
        <v>0.93500000000000005</v>
      </c>
      <c r="I34">
        <v>0.99666666699999995</v>
      </c>
      <c r="J34">
        <v>0.91666666666666663</v>
      </c>
      <c r="K34">
        <v>0.56666666666666665</v>
      </c>
      <c r="L34">
        <v>0.97333333333333338</v>
      </c>
      <c r="M34">
        <v>0.83333299999999999</v>
      </c>
      <c r="N34">
        <v>0.93333333333333335</v>
      </c>
      <c r="O34">
        <v>1.5151515151515152E-2</v>
      </c>
      <c r="Q34">
        <v>0.92833299999999996</v>
      </c>
    </row>
    <row r="35" spans="1:17" x14ac:dyDescent="0.25">
      <c r="A35">
        <v>38</v>
      </c>
      <c r="B35">
        <v>0</v>
      </c>
      <c r="C35">
        <v>0</v>
      </c>
      <c r="D35" s="23">
        <f>(600-8)/600</f>
        <v>0.98666666666666669</v>
      </c>
      <c r="E35">
        <v>0.95</v>
      </c>
      <c r="F35">
        <v>0.98499999999999999</v>
      </c>
      <c r="G35" t="s">
        <v>233</v>
      </c>
      <c r="H35" s="23">
        <f>(600-33)/600</f>
        <v>0.94499999999999995</v>
      </c>
      <c r="I35">
        <v>0.99333333300000004</v>
      </c>
      <c r="L35">
        <v>0.96</v>
      </c>
      <c r="M35">
        <v>0.96</v>
      </c>
      <c r="N35">
        <v>0.93333333333333335</v>
      </c>
      <c r="O35">
        <v>0.33333333333333331</v>
      </c>
      <c r="P35">
        <v>0.18333333333333332</v>
      </c>
      <c r="Q35">
        <v>0.98666699999999996</v>
      </c>
    </row>
    <row r="36" spans="1:17" x14ac:dyDescent="0.25">
      <c r="A36">
        <v>39</v>
      </c>
      <c r="B36">
        <v>0.94333333333333347</v>
      </c>
      <c r="C36">
        <v>0.50166666666666659</v>
      </c>
      <c r="D36" s="23">
        <v>0.48</v>
      </c>
      <c r="E36">
        <v>0.99333300000000002</v>
      </c>
      <c r="F36">
        <v>0.91500000000000004</v>
      </c>
      <c r="G36">
        <v>0</v>
      </c>
      <c r="H36" s="23">
        <f>(330-16)/600</f>
        <v>0.52333333333333332</v>
      </c>
      <c r="I36">
        <v>0.94166666700000001</v>
      </c>
      <c r="J36">
        <v>0.77500000000000002</v>
      </c>
      <c r="K36">
        <v>2.5000000000000001E-2</v>
      </c>
      <c r="L36">
        <v>0.44166666666666665</v>
      </c>
      <c r="M36">
        <v>0.968333</v>
      </c>
      <c r="Q36">
        <v>0.98333300000000001</v>
      </c>
    </row>
    <row r="37" spans="1:17" x14ac:dyDescent="0.25">
      <c r="A37">
        <v>40</v>
      </c>
      <c r="B37">
        <v>0.98666666666666669</v>
      </c>
      <c r="C37">
        <v>0.875</v>
      </c>
      <c r="D37" s="23">
        <v>0.72</v>
      </c>
      <c r="E37">
        <v>0.97833300000000001</v>
      </c>
      <c r="F37">
        <v>0.96333333333333337</v>
      </c>
      <c r="G37">
        <v>0.81666666666666665</v>
      </c>
      <c r="H37" s="23">
        <f>(600-17)/600</f>
        <v>0.97166666666666668</v>
      </c>
      <c r="I37">
        <v>0.97499999999999998</v>
      </c>
      <c r="J37">
        <v>0.90666666666666662</v>
      </c>
      <c r="K37">
        <v>0.8833333333333333</v>
      </c>
      <c r="L37">
        <v>0.98</v>
      </c>
      <c r="N37">
        <v>0.10833333333333334</v>
      </c>
      <c r="O37">
        <v>0</v>
      </c>
      <c r="Q37">
        <v>0.95333299999999999</v>
      </c>
    </row>
    <row r="38" spans="1:17" x14ac:dyDescent="0.25">
      <c r="A38">
        <v>41</v>
      </c>
      <c r="B38">
        <v>0.92</v>
      </c>
      <c r="C38">
        <v>0.52666666666666662</v>
      </c>
      <c r="D38" s="23">
        <v>0.96</v>
      </c>
      <c r="E38">
        <v>0.96333299999999999</v>
      </c>
      <c r="H38" s="23"/>
      <c r="I38">
        <v>0.99333333300000004</v>
      </c>
      <c r="Q38">
        <v>0</v>
      </c>
    </row>
    <row r="39" spans="1:17" x14ac:dyDescent="0.25">
      <c r="A39">
        <v>42</v>
      </c>
      <c r="B39">
        <v>0.98499999999999999</v>
      </c>
      <c r="C39">
        <v>0.94166666666666676</v>
      </c>
      <c r="D39" s="23">
        <v>0.97</v>
      </c>
      <c r="E39">
        <v>0.995</v>
      </c>
      <c r="F39">
        <v>0.97</v>
      </c>
      <c r="G39">
        <v>0.8666666666666667</v>
      </c>
      <c r="H39" s="23">
        <f>(600-18)/600</f>
        <v>0.97</v>
      </c>
      <c r="I39">
        <v>0.98666666700000005</v>
      </c>
      <c r="L39">
        <v>0.98499999999999999</v>
      </c>
      <c r="Q39">
        <v>0.98166699999999996</v>
      </c>
    </row>
    <row r="40" spans="1:17" x14ac:dyDescent="0.25">
      <c r="A40">
        <v>43</v>
      </c>
      <c r="B40">
        <v>0</v>
      </c>
      <c r="C40">
        <v>0</v>
      </c>
      <c r="D40" s="23">
        <v>0.998</v>
      </c>
      <c r="E40">
        <v>0.99333300000000002</v>
      </c>
      <c r="H40" s="23">
        <f>(600-10)/600</f>
        <v>0.98333333333333328</v>
      </c>
      <c r="I40">
        <v>0.931666667</v>
      </c>
      <c r="J40">
        <v>0.83333333333333337</v>
      </c>
      <c r="K40">
        <v>0.11666666666666667</v>
      </c>
      <c r="L40">
        <v>0.75</v>
      </c>
      <c r="P40">
        <v>0.97</v>
      </c>
      <c r="Q40">
        <v>0.843333</v>
      </c>
    </row>
    <row r="41" spans="1:17" x14ac:dyDescent="0.25">
      <c r="A41">
        <v>44</v>
      </c>
      <c r="B41">
        <v>0.93666666666666676</v>
      </c>
      <c r="C41">
        <v>0.34666666666666662</v>
      </c>
      <c r="D41" s="23">
        <f>(600-10)/600</f>
        <v>0.98333333333333328</v>
      </c>
      <c r="E41">
        <v>0.99666699999999997</v>
      </c>
      <c r="F41">
        <v>0.95</v>
      </c>
      <c r="G41">
        <v>0.05</v>
      </c>
      <c r="H41" s="23">
        <f>(600-32)/600</f>
        <v>0.94666666666666666</v>
      </c>
      <c r="I41">
        <v>0.953333333</v>
      </c>
      <c r="J41">
        <v>0.91333333333333333</v>
      </c>
      <c r="K41">
        <v>0.78333333333333333</v>
      </c>
      <c r="L41">
        <v>0.94666666666666666</v>
      </c>
      <c r="N41">
        <v>0.21666666666666667</v>
      </c>
      <c r="O41">
        <v>0.05</v>
      </c>
      <c r="P41">
        <v>0.05</v>
      </c>
      <c r="Q41">
        <v>0.58333299999999999</v>
      </c>
    </row>
    <row r="42" spans="1:17" x14ac:dyDescent="0.25">
      <c r="A42">
        <v>45</v>
      </c>
      <c r="B42">
        <v>0.98499999999999999</v>
      </c>
      <c r="C42">
        <v>0.96666666666666667</v>
      </c>
      <c r="D42" s="23">
        <f>(600-11)/600</f>
        <v>0.98166666666666669</v>
      </c>
      <c r="E42">
        <v>0.99333300000000002</v>
      </c>
      <c r="F42">
        <v>0.98666666666666669</v>
      </c>
      <c r="G42">
        <v>0.92500000000000004</v>
      </c>
      <c r="H42" s="23">
        <f>(600-10)/600</f>
        <v>0.98333333333333328</v>
      </c>
      <c r="I42">
        <v>0.948333333</v>
      </c>
      <c r="J42">
        <v>0.86166666666666669</v>
      </c>
      <c r="K42">
        <v>0.9</v>
      </c>
      <c r="Q42">
        <v>0.71666700000000005</v>
      </c>
    </row>
    <row r="43" spans="1:17" x14ac:dyDescent="0.25">
      <c r="A43">
        <v>47</v>
      </c>
      <c r="B43">
        <v>0.97</v>
      </c>
      <c r="C43">
        <v>2.3333333333333334E-2</v>
      </c>
      <c r="D43" s="23"/>
      <c r="E43">
        <v>0.995</v>
      </c>
      <c r="F43">
        <v>0.97666666666666668</v>
      </c>
      <c r="G43">
        <v>0.10833333333333334</v>
      </c>
      <c r="H43" s="23"/>
      <c r="L43">
        <v>0.1</v>
      </c>
      <c r="Q43">
        <v>0.90500000000000003</v>
      </c>
    </row>
    <row r="44" spans="1:17" x14ac:dyDescent="0.25">
      <c r="A44">
        <v>48</v>
      </c>
      <c r="B44">
        <v>0.98499999999999999</v>
      </c>
      <c r="C44">
        <v>0</v>
      </c>
      <c r="D44" s="23">
        <f>(600-10)/600</f>
        <v>0.98333333333333328</v>
      </c>
      <c r="E44">
        <v>0.99</v>
      </c>
      <c r="F44">
        <v>0.95499999999999996</v>
      </c>
      <c r="G44">
        <v>0.05</v>
      </c>
      <c r="H44" s="23">
        <f>(600-89)/600</f>
        <v>0.85166666666666668</v>
      </c>
      <c r="J44">
        <v>0.98</v>
      </c>
      <c r="K44">
        <v>0.52500000000000002</v>
      </c>
      <c r="L44">
        <v>0.93333333333333335</v>
      </c>
      <c r="Q44">
        <v>0.98333300000000001</v>
      </c>
    </row>
    <row r="45" spans="1:17" x14ac:dyDescent="0.25">
      <c r="A45">
        <v>49</v>
      </c>
      <c r="B45">
        <v>0</v>
      </c>
      <c r="C45">
        <v>0</v>
      </c>
      <c r="D45" s="23">
        <v>0.98</v>
      </c>
      <c r="H45" s="23">
        <v>0</v>
      </c>
      <c r="L45">
        <v>0.95</v>
      </c>
      <c r="Q45">
        <v>0.13333300000000001</v>
      </c>
    </row>
    <row r="46" spans="1:17" x14ac:dyDescent="0.25">
      <c r="A46">
        <v>50</v>
      </c>
      <c r="B46">
        <v>0.92333333333333334</v>
      </c>
      <c r="C46">
        <v>0</v>
      </c>
      <c r="D46" s="23">
        <v>0.95</v>
      </c>
      <c r="F46">
        <v>0.9</v>
      </c>
      <c r="G46">
        <v>8.3333333333333329E-2</v>
      </c>
      <c r="H46" s="23">
        <f>(600-65)/600</f>
        <v>0.89166666666666672</v>
      </c>
      <c r="J46">
        <v>0.95499999999999996</v>
      </c>
      <c r="K46">
        <v>0.75</v>
      </c>
      <c r="L46">
        <v>0.89</v>
      </c>
      <c r="Q46">
        <v>0.95333299999999999</v>
      </c>
    </row>
    <row r="47" spans="1:17" x14ac:dyDescent="0.25">
      <c r="A47">
        <v>51</v>
      </c>
      <c r="B47">
        <v>0.89833333333333332</v>
      </c>
      <c r="C47">
        <v>0</v>
      </c>
      <c r="D47" s="23">
        <v>0.78</v>
      </c>
      <c r="F47">
        <v>0.95333333333333337</v>
      </c>
      <c r="G47">
        <v>8.3333333333333332E-3</v>
      </c>
      <c r="H47" s="23">
        <f>(600-22)/600</f>
        <v>0.96333333333333337</v>
      </c>
      <c r="J47">
        <v>0</v>
      </c>
      <c r="K47">
        <v>3.3333333333333335E-3</v>
      </c>
      <c r="L47">
        <v>8.3333333333333332E-3</v>
      </c>
      <c r="N47">
        <v>0.66666666666666663</v>
      </c>
      <c r="O47">
        <v>8.3333333333333329E-2</v>
      </c>
      <c r="P47">
        <v>0.97333333333333338</v>
      </c>
      <c r="Q47">
        <v>0.81666700000000003</v>
      </c>
    </row>
    <row r="48" spans="1:17" x14ac:dyDescent="0.25">
      <c r="A48">
        <v>52</v>
      </c>
      <c r="B48">
        <v>0.85</v>
      </c>
      <c r="C48">
        <v>0.97833333333333328</v>
      </c>
      <c r="D48" s="23">
        <v>0.02</v>
      </c>
      <c r="F48">
        <v>0.95</v>
      </c>
      <c r="G48">
        <v>0</v>
      </c>
      <c r="H48" s="23">
        <f>2/600</f>
        <v>3.3333333333333335E-3</v>
      </c>
      <c r="Q48">
        <v>0.96166700000000005</v>
      </c>
    </row>
    <row r="49" spans="1:17" x14ac:dyDescent="0.25">
      <c r="A49">
        <v>53</v>
      </c>
      <c r="B49">
        <v>0.99333333333333329</v>
      </c>
      <c r="C49">
        <v>1.6666666666666666E-2</v>
      </c>
      <c r="D49" s="23">
        <v>0.04</v>
      </c>
      <c r="F49">
        <v>0.97499999999999998</v>
      </c>
      <c r="G49">
        <v>0.11166666666666666</v>
      </c>
      <c r="H49" s="23">
        <f>239/600</f>
        <v>0.39833333333333332</v>
      </c>
      <c r="Q49">
        <v>0</v>
      </c>
    </row>
    <row r="50" spans="1:17" x14ac:dyDescent="0.25">
      <c r="A50">
        <v>54</v>
      </c>
      <c r="B50">
        <v>0</v>
      </c>
      <c r="C50">
        <v>0</v>
      </c>
      <c r="D50" s="23">
        <v>7.0000000000000007E-2</v>
      </c>
      <c r="H50" s="23">
        <f>(600-25)/600</f>
        <v>0.95833333333333337</v>
      </c>
      <c r="J50">
        <v>0.95333333333333337</v>
      </c>
      <c r="K50">
        <v>5.0000000000000001E-3</v>
      </c>
      <c r="Q50">
        <v>0.16666700000000001</v>
      </c>
    </row>
    <row r="51" spans="1:17" x14ac:dyDescent="0.25">
      <c r="A51">
        <v>56</v>
      </c>
      <c r="B51">
        <v>0.92333333333333334</v>
      </c>
      <c r="C51">
        <v>0.20833333333333331</v>
      </c>
      <c r="D51" s="23">
        <v>0.92</v>
      </c>
      <c r="F51">
        <v>0.98</v>
      </c>
      <c r="G51">
        <v>0.15</v>
      </c>
      <c r="H51" s="23"/>
      <c r="J51">
        <v>0.85666666666666669</v>
      </c>
      <c r="K51">
        <v>0.20833333333333334</v>
      </c>
      <c r="L51">
        <v>0.88500000000000001</v>
      </c>
      <c r="Q51">
        <v>0.76666699999999999</v>
      </c>
    </row>
    <row r="52" spans="1:17" x14ac:dyDescent="0.25">
      <c r="A52">
        <v>57</v>
      </c>
      <c r="B52">
        <v>0.71666666666666667</v>
      </c>
      <c r="C52">
        <v>0.98333333333333328</v>
      </c>
      <c r="D52" s="23">
        <v>0.92</v>
      </c>
      <c r="F52">
        <v>0.46666666666666667</v>
      </c>
      <c r="G52">
        <v>0.3</v>
      </c>
      <c r="H52" s="23">
        <f>(600-26)/600</f>
        <v>0.95666666666666667</v>
      </c>
      <c r="L52">
        <v>6.6666666666666666E-2</v>
      </c>
      <c r="N52">
        <v>0.6333333333333333</v>
      </c>
      <c r="O52">
        <v>0.05</v>
      </c>
      <c r="P52">
        <v>0.75</v>
      </c>
    </row>
    <row r="53" spans="1:17" x14ac:dyDescent="0.25">
      <c r="A53">
        <v>58</v>
      </c>
      <c r="B53">
        <v>0.97499999999999998</v>
      </c>
      <c r="C53">
        <v>0.99</v>
      </c>
      <c r="D53" s="23">
        <v>0.95</v>
      </c>
      <c r="F53">
        <v>10</v>
      </c>
      <c r="G53">
        <v>8.3333333333333332E-3</v>
      </c>
      <c r="H53" s="23">
        <f>(600-20)/600</f>
        <v>0.96666666666666667</v>
      </c>
      <c r="J53">
        <v>0.90166666666666662</v>
      </c>
      <c r="K53">
        <v>0</v>
      </c>
      <c r="L53">
        <v>8.3333333333333332E-3</v>
      </c>
      <c r="N53">
        <v>0.16666666666666666</v>
      </c>
      <c r="O53">
        <v>0.05</v>
      </c>
      <c r="P53">
        <v>6.6666666666666666E-2</v>
      </c>
    </row>
    <row r="54" spans="1:17" x14ac:dyDescent="0.25">
      <c r="A54">
        <v>59</v>
      </c>
      <c r="B54">
        <v>0</v>
      </c>
      <c r="C54">
        <v>0</v>
      </c>
      <c r="D54" s="23"/>
      <c r="F54">
        <v>0.8783333333333333</v>
      </c>
      <c r="G54">
        <v>6.6666666666666666E-2</v>
      </c>
      <c r="H54" s="23">
        <f>360/600</f>
        <v>0.6</v>
      </c>
    </row>
    <row r="55" spans="1:17" x14ac:dyDescent="0.25">
      <c r="A55">
        <v>60</v>
      </c>
      <c r="B55">
        <v>0</v>
      </c>
      <c r="C55">
        <v>0</v>
      </c>
      <c r="D55" s="23"/>
      <c r="H55" s="23">
        <f>(600-28)/600</f>
        <v>0.95333333333333337</v>
      </c>
    </row>
    <row r="56" spans="1:17" x14ac:dyDescent="0.25">
      <c r="A56">
        <v>71</v>
      </c>
      <c r="B56">
        <v>0.97333333333333338</v>
      </c>
      <c r="C56">
        <v>0.37166666666666665</v>
      </c>
      <c r="D56" s="23"/>
      <c r="H56" s="23">
        <f>(600-7)/600</f>
        <v>0.98833333333333329</v>
      </c>
      <c r="J56">
        <v>0.94166666666666665</v>
      </c>
      <c r="K56">
        <v>6.6666666666666666E-2</v>
      </c>
      <c r="L56">
        <v>4.4999999999999998E-2</v>
      </c>
    </row>
    <row r="57" spans="1:17" x14ac:dyDescent="0.25">
      <c r="A57">
        <v>73</v>
      </c>
      <c r="B57">
        <v>0.98499999999999999</v>
      </c>
      <c r="C57">
        <v>0.80333333333333323</v>
      </c>
      <c r="D57" s="23">
        <v>0.998</v>
      </c>
      <c r="F57">
        <v>0.8833333333333333</v>
      </c>
      <c r="G57">
        <v>8.3333333333333332E-3</v>
      </c>
      <c r="H57" s="23">
        <v>0</v>
      </c>
    </row>
    <row r="58" spans="1:17" x14ac:dyDescent="0.25">
      <c r="A58">
        <v>74</v>
      </c>
      <c r="B58">
        <v>0.99</v>
      </c>
      <c r="C58">
        <v>0.90833333333333333</v>
      </c>
      <c r="D58" s="23">
        <v>0.98</v>
      </c>
      <c r="F58">
        <v>0.97499999999999998</v>
      </c>
      <c r="G58">
        <v>8.3333333333333332E-3</v>
      </c>
      <c r="H58" s="23">
        <f>500/600</f>
        <v>0.83333333333333337</v>
      </c>
      <c r="J58">
        <v>0.98499999999999999</v>
      </c>
      <c r="K58">
        <v>5.0000000000000001E-3</v>
      </c>
    </row>
    <row r="59" spans="1:17" x14ac:dyDescent="0.25">
      <c r="A59">
        <v>75</v>
      </c>
      <c r="B59">
        <v>0.97166666666666668</v>
      </c>
      <c r="C59">
        <v>0.9916666666666667</v>
      </c>
      <c r="D59" s="23">
        <v>0.98</v>
      </c>
      <c r="F59">
        <v>0.96</v>
      </c>
      <c r="G59">
        <v>0</v>
      </c>
      <c r="H59" s="23">
        <v>0</v>
      </c>
      <c r="L59">
        <v>0.88166666666666671</v>
      </c>
    </row>
    <row r="60" spans="1:17" x14ac:dyDescent="0.25">
      <c r="A60">
        <v>76</v>
      </c>
      <c r="B60">
        <v>0.97333333333333338</v>
      </c>
      <c r="C60">
        <v>0.91333333333333333</v>
      </c>
      <c r="D60" s="23">
        <v>0.97</v>
      </c>
      <c r="F60">
        <v>0.16666666666666666</v>
      </c>
      <c r="G60">
        <v>3.3333333333333333E-2</v>
      </c>
      <c r="H60" s="23">
        <f>150/600</f>
        <v>0.25</v>
      </c>
    </row>
    <row r="61" spans="1:17" x14ac:dyDescent="0.25">
      <c r="A61">
        <v>77</v>
      </c>
      <c r="B61">
        <v>0</v>
      </c>
      <c r="C61">
        <v>0</v>
      </c>
      <c r="D61" s="23">
        <v>0.98</v>
      </c>
      <c r="H61" s="23">
        <f>(600-42)/600</f>
        <v>0.93</v>
      </c>
      <c r="J61">
        <v>0.98333333333333328</v>
      </c>
      <c r="K61">
        <v>0.95833333333333337</v>
      </c>
      <c r="N61">
        <v>0.95333333333333337</v>
      </c>
      <c r="O61">
        <v>0.30833333333333335</v>
      </c>
      <c r="P61">
        <v>0.97166666666666668</v>
      </c>
    </row>
    <row r="62" spans="1:17" x14ac:dyDescent="0.25">
      <c r="A62">
        <v>78</v>
      </c>
      <c r="B62">
        <v>0.91333333333333333</v>
      </c>
      <c r="C62">
        <v>0.23333333333333331</v>
      </c>
      <c r="D62" s="23">
        <f>(600-5)/600</f>
        <v>0.9916666666666667</v>
      </c>
      <c r="H62" s="23"/>
      <c r="L62">
        <v>0.97833333333333339</v>
      </c>
    </row>
    <row r="63" spans="1:17" x14ac:dyDescent="0.25">
      <c r="A63">
        <v>79</v>
      </c>
      <c r="B63">
        <v>0.95666666666666667</v>
      </c>
      <c r="C63">
        <v>0.99833333333333329</v>
      </c>
      <c r="D63" s="23">
        <v>0</v>
      </c>
      <c r="F63">
        <v>0.96166666666666667</v>
      </c>
      <c r="G63">
        <v>0.16666666666666666</v>
      </c>
      <c r="H63" s="23">
        <f>(600-18)/600</f>
        <v>0.97</v>
      </c>
      <c r="N63">
        <v>0.58333333333333337</v>
      </c>
      <c r="O63">
        <v>0.16666666666666666</v>
      </c>
      <c r="P63">
        <v>0.6333333333333333</v>
      </c>
    </row>
    <row r="64" spans="1:17" x14ac:dyDescent="0.25">
      <c r="A64">
        <v>80</v>
      </c>
      <c r="B64">
        <v>0.93166666666666653</v>
      </c>
      <c r="C64">
        <v>0.99</v>
      </c>
      <c r="D64" s="23">
        <v>0.95</v>
      </c>
      <c r="F64">
        <v>0.8666666666666667</v>
      </c>
      <c r="G64">
        <v>0.46666666666666667</v>
      </c>
      <c r="H64" s="23">
        <f>(600-50)/600</f>
        <v>0.91666666666666663</v>
      </c>
      <c r="J64">
        <v>0.48333333333333334</v>
      </c>
      <c r="K64">
        <v>0.78333333333333333</v>
      </c>
      <c r="L64">
        <v>0.74</v>
      </c>
    </row>
    <row r="65" spans="1:16" x14ac:dyDescent="0.25">
      <c r="A65">
        <v>81</v>
      </c>
      <c r="B65">
        <v>0.97666666666666668</v>
      </c>
      <c r="C65">
        <v>0.98333333333333328</v>
      </c>
      <c r="D65" s="23">
        <v>0.83</v>
      </c>
      <c r="F65">
        <v>0.84</v>
      </c>
      <c r="G65">
        <v>0.98333333333333328</v>
      </c>
      <c r="H65" s="23">
        <f>(600-31)/600</f>
        <v>0.94833333333333336</v>
      </c>
      <c r="J65">
        <v>0</v>
      </c>
      <c r="K65">
        <v>0</v>
      </c>
    </row>
    <row r="66" spans="1:16" x14ac:dyDescent="0.25">
      <c r="A66">
        <v>83</v>
      </c>
      <c r="F66">
        <v>0.97</v>
      </c>
      <c r="G66">
        <v>2.5000000000000001E-2</v>
      </c>
      <c r="H66" s="23">
        <f>(600-16)/600</f>
        <v>0.97333333333333338</v>
      </c>
      <c r="J66">
        <v>0.90666666666666662</v>
      </c>
      <c r="K66">
        <v>0.6333333333333333</v>
      </c>
      <c r="N66">
        <v>0.98499999999999999</v>
      </c>
      <c r="O66">
        <v>0.72499999999999998</v>
      </c>
      <c r="P66">
        <v>0.98166666666666669</v>
      </c>
    </row>
    <row r="67" spans="1:16" x14ac:dyDescent="0.25">
      <c r="A67">
        <v>85</v>
      </c>
      <c r="D67" s="23">
        <v>0.93</v>
      </c>
      <c r="H67" s="23">
        <f>(600-43)/600</f>
        <v>0.92833333333333334</v>
      </c>
      <c r="J67">
        <v>0.41666666666666669</v>
      </c>
      <c r="K67">
        <v>4.1666666666666664E-2</v>
      </c>
      <c r="L67">
        <v>0.96166666666666667</v>
      </c>
      <c r="N67">
        <v>0.9</v>
      </c>
      <c r="O67">
        <v>0.15</v>
      </c>
      <c r="P67">
        <v>0.66666666666666663</v>
      </c>
    </row>
    <row r="68" spans="1:16" x14ac:dyDescent="0.25">
      <c r="A68">
        <v>86</v>
      </c>
      <c r="K68">
        <v>0.46686987125070756</v>
      </c>
      <c r="L68">
        <v>0.8666666666666667</v>
      </c>
      <c r="P68">
        <v>0.98833333333333329</v>
      </c>
    </row>
    <row r="71" spans="1:16" ht="28.9" customHeight="1" x14ac:dyDescent="0.25"/>
    <row r="72" spans="1:16" hidden="1" x14ac:dyDescent="0.25"/>
    <row r="73" spans="1:16" ht="42.6" customHeight="1" x14ac:dyDescent="0.25"/>
    <row r="74" spans="1:16" ht="31.5" x14ac:dyDescent="0.5">
      <c r="B74" s="5" t="s">
        <v>31</v>
      </c>
    </row>
    <row r="76" spans="1:16" ht="21" x14ac:dyDescent="0.35">
      <c r="B76" s="25" t="s">
        <v>274</v>
      </c>
      <c r="C76" s="25"/>
      <c r="D76" s="25"/>
    </row>
    <row r="77" spans="1:16" s="1" customFormat="1" ht="36" customHeight="1" x14ac:dyDescent="0.3">
      <c r="G77"/>
    </row>
    <row r="78" spans="1:16" ht="21" x14ac:dyDescent="0.35">
      <c r="B78" s="35" t="s">
        <v>254</v>
      </c>
      <c r="C78" s="35"/>
      <c r="D78" s="35"/>
      <c r="E78" s="35"/>
    </row>
    <row r="79" spans="1:16" ht="21" x14ac:dyDescent="0.35">
      <c r="A79" t="s">
        <v>234</v>
      </c>
      <c r="B79" s="2">
        <v>4</v>
      </c>
      <c r="C79" s="2">
        <v>6</v>
      </c>
      <c r="D79" s="2">
        <v>8</v>
      </c>
      <c r="E79" s="2">
        <v>10</v>
      </c>
    </row>
    <row r="80" spans="1:16" x14ac:dyDescent="0.25">
      <c r="A80">
        <v>1</v>
      </c>
      <c r="B80">
        <v>1.017153</v>
      </c>
      <c r="C80">
        <v>0.90598299999999998</v>
      </c>
      <c r="D80">
        <v>0.104895</v>
      </c>
    </row>
    <row r="81" spans="1:7" ht="18.75" x14ac:dyDescent="0.3">
      <c r="A81">
        <v>3</v>
      </c>
      <c r="B81">
        <v>1.02627</v>
      </c>
      <c r="C81">
        <v>0.81237899999999996</v>
      </c>
      <c r="D81">
        <v>0.60606099999999996</v>
      </c>
      <c r="E81">
        <v>0.18181800000000001</v>
      </c>
      <c r="G81" s="1"/>
    </row>
    <row r="82" spans="1:7" x14ac:dyDescent="0.25">
      <c r="A82">
        <v>4</v>
      </c>
      <c r="B82">
        <v>0.95682199999999995</v>
      </c>
    </row>
    <row r="83" spans="1:7" ht="18.75" x14ac:dyDescent="0.3">
      <c r="A83">
        <v>5</v>
      </c>
      <c r="B83">
        <v>1.0118849999999999</v>
      </c>
      <c r="D83">
        <v>0.84775100000000003</v>
      </c>
      <c r="E83">
        <v>0</v>
      </c>
      <c r="F83" s="1"/>
    </row>
    <row r="84" spans="1:7" x14ac:dyDescent="0.25">
      <c r="A84">
        <v>6</v>
      </c>
      <c r="B84">
        <v>0</v>
      </c>
    </row>
    <row r="85" spans="1:7" x14ac:dyDescent="0.25">
      <c r="A85">
        <v>7</v>
      </c>
      <c r="B85">
        <v>0</v>
      </c>
      <c r="C85">
        <v>0.99659299999999995</v>
      </c>
      <c r="D85">
        <v>0.97517699999999996</v>
      </c>
      <c r="E85">
        <v>0.31818200000000002</v>
      </c>
    </row>
    <row r="86" spans="1:7" x14ac:dyDescent="0.25">
      <c r="A86">
        <v>8</v>
      </c>
      <c r="B86">
        <v>1.015228</v>
      </c>
    </row>
    <row r="87" spans="1:7" x14ac:dyDescent="0.25">
      <c r="A87">
        <v>9</v>
      </c>
      <c r="B87">
        <v>1.0169490000000001</v>
      </c>
      <c r="C87">
        <v>0.984043</v>
      </c>
      <c r="D87">
        <v>0.44303799999999999</v>
      </c>
    </row>
    <row r="88" spans="1:7" x14ac:dyDescent="0.25">
      <c r="A88">
        <v>12</v>
      </c>
      <c r="C88">
        <v>0.95905200000000002</v>
      </c>
      <c r="D88">
        <v>0.74870899999999996</v>
      </c>
    </row>
    <row r="89" spans="1:7" x14ac:dyDescent="0.25">
      <c r="A89">
        <v>13</v>
      </c>
      <c r="B89">
        <v>0.99663900000000005</v>
      </c>
      <c r="C89">
        <v>8.5890999999999995E-2</v>
      </c>
      <c r="E89">
        <v>1.439864</v>
      </c>
    </row>
    <row r="90" spans="1:7" x14ac:dyDescent="0.25">
      <c r="A90">
        <v>14</v>
      </c>
      <c r="B90">
        <v>0.98319299999999998</v>
      </c>
      <c r="C90">
        <v>0.72231900000000004</v>
      </c>
      <c r="D90">
        <v>0.104348</v>
      </c>
      <c r="E90">
        <v>0</v>
      </c>
    </row>
    <row r="91" spans="1:7" x14ac:dyDescent="0.25">
      <c r="A91">
        <v>15</v>
      </c>
      <c r="B91">
        <v>0.99829100000000004</v>
      </c>
      <c r="E91">
        <v>0.50937399999999999</v>
      </c>
    </row>
    <row r="92" spans="1:7" x14ac:dyDescent="0.25">
      <c r="A92">
        <v>16</v>
      </c>
      <c r="B92">
        <v>5.1989999999999996E-3</v>
      </c>
      <c r="C92">
        <v>0.78093299999999999</v>
      </c>
    </row>
    <row r="93" spans="1:7" x14ac:dyDescent="0.25">
      <c r="A93">
        <v>17</v>
      </c>
      <c r="C93">
        <v>1.001684</v>
      </c>
    </row>
    <row r="94" spans="1:7" x14ac:dyDescent="0.25">
      <c r="A94">
        <v>18</v>
      </c>
      <c r="B94">
        <v>0.36363600000000001</v>
      </c>
      <c r="C94">
        <v>0.24390200000000001</v>
      </c>
      <c r="D94">
        <v>0.92150200000000004</v>
      </c>
    </row>
    <row r="95" spans="1:7" x14ac:dyDescent="0.25">
      <c r="A95">
        <v>19</v>
      </c>
      <c r="B95">
        <v>1.032727</v>
      </c>
      <c r="C95">
        <v>5.2909999999999999E-2</v>
      </c>
      <c r="E95">
        <v>0.119783</v>
      </c>
    </row>
    <row r="96" spans="1:7" x14ac:dyDescent="0.25">
      <c r="A96">
        <v>20</v>
      </c>
      <c r="B96">
        <v>0.97731199999999996</v>
      </c>
      <c r="D96">
        <v>1.7857000000000001E-2</v>
      </c>
      <c r="E96">
        <v>1.0967739999999999</v>
      </c>
    </row>
    <row r="97" spans="1:5" x14ac:dyDescent="0.25">
      <c r="A97">
        <v>21</v>
      </c>
      <c r="B97">
        <v>1.0244759999999999</v>
      </c>
      <c r="C97">
        <v>0.20147100000000001</v>
      </c>
    </row>
    <row r="98" spans="1:5" x14ac:dyDescent="0.25">
      <c r="A98">
        <v>22</v>
      </c>
      <c r="C98">
        <v>3.0787999999999999E-2</v>
      </c>
      <c r="D98">
        <v>0.49207200000000001</v>
      </c>
    </row>
    <row r="99" spans="1:5" x14ac:dyDescent="0.25">
      <c r="A99">
        <v>23</v>
      </c>
      <c r="B99">
        <v>5.1110000000000001E-3</v>
      </c>
    </row>
    <row r="100" spans="1:5" x14ac:dyDescent="0.25">
      <c r="A100">
        <v>25</v>
      </c>
      <c r="B100">
        <v>1.015228</v>
      </c>
      <c r="C100">
        <v>0.96544700000000006</v>
      </c>
      <c r="D100">
        <v>0.90390400000000004</v>
      </c>
      <c r="E100">
        <v>5.6980000000000003E-2</v>
      </c>
    </row>
    <row r="101" spans="1:5" x14ac:dyDescent="0.25">
      <c r="A101">
        <v>26</v>
      </c>
      <c r="B101">
        <v>1.005093</v>
      </c>
      <c r="C101">
        <v>0.43523200000000001</v>
      </c>
      <c r="D101">
        <v>0.96309999999999996</v>
      </c>
    </row>
    <row r="102" spans="1:5" x14ac:dyDescent="0.25">
      <c r="A102">
        <v>27</v>
      </c>
      <c r="B102">
        <v>0.111111</v>
      </c>
      <c r="D102">
        <v>0.52310400000000001</v>
      </c>
      <c r="E102">
        <v>0.78626700000000005</v>
      </c>
    </row>
    <row r="103" spans="1:5" x14ac:dyDescent="0.25">
      <c r="A103">
        <v>28</v>
      </c>
      <c r="C103">
        <v>0.989761</v>
      </c>
    </row>
    <row r="104" spans="1:5" x14ac:dyDescent="0.25">
      <c r="A104">
        <v>30</v>
      </c>
      <c r="B104">
        <v>1.003401</v>
      </c>
      <c r="C104">
        <v>1.2291669999999999</v>
      </c>
      <c r="E104">
        <v>0.34196900000000002</v>
      </c>
    </row>
    <row r="105" spans="1:5" x14ac:dyDescent="0.25">
      <c r="A105">
        <v>32</v>
      </c>
      <c r="B105">
        <v>0.99489799999999995</v>
      </c>
      <c r="C105">
        <v>0.93696800000000002</v>
      </c>
      <c r="D105">
        <v>0.93425599999999998</v>
      </c>
    </row>
    <row r="106" spans="1:5" x14ac:dyDescent="0.25">
      <c r="A106">
        <v>33</v>
      </c>
    </row>
    <row r="107" spans="1:5" x14ac:dyDescent="0.25">
      <c r="A107">
        <v>35</v>
      </c>
      <c r="B107">
        <v>0.99662200000000001</v>
      </c>
      <c r="C107">
        <v>0.57823100000000005</v>
      </c>
      <c r="D107">
        <v>0.93856700000000004</v>
      </c>
      <c r="E107">
        <v>0</v>
      </c>
    </row>
    <row r="108" spans="1:5" x14ac:dyDescent="0.25">
      <c r="A108">
        <v>36</v>
      </c>
      <c r="B108">
        <v>1.005199</v>
      </c>
      <c r="D108">
        <v>0.61818200000000001</v>
      </c>
      <c r="E108">
        <v>1.6233999999999998E-2</v>
      </c>
    </row>
    <row r="109" spans="1:5" x14ac:dyDescent="0.25">
      <c r="A109">
        <v>37</v>
      </c>
      <c r="E109">
        <v>0.35714299999999999</v>
      </c>
    </row>
    <row r="110" spans="1:5" x14ac:dyDescent="0.25">
      <c r="A110">
        <v>38</v>
      </c>
      <c r="B110">
        <v>0.531802</v>
      </c>
      <c r="C110">
        <v>0</v>
      </c>
      <c r="D110">
        <v>3.2258000000000002E-2</v>
      </c>
    </row>
    <row r="111" spans="1:5" x14ac:dyDescent="0.25">
      <c r="A111">
        <v>39</v>
      </c>
      <c r="B111">
        <v>0.88682399999999995</v>
      </c>
      <c r="C111">
        <v>0.84775100000000003</v>
      </c>
      <c r="D111">
        <v>0.97426500000000005</v>
      </c>
      <c r="E111">
        <v>0</v>
      </c>
    </row>
    <row r="112" spans="1:5" x14ac:dyDescent="0.25">
      <c r="A112">
        <v>40</v>
      </c>
      <c r="B112">
        <v>0.57246399999999997</v>
      </c>
    </row>
    <row r="113" spans="1:5" x14ac:dyDescent="0.25">
      <c r="A113">
        <v>41</v>
      </c>
      <c r="B113">
        <v>0.95600700000000005</v>
      </c>
      <c r="C113">
        <v>0.89347100000000002</v>
      </c>
    </row>
    <row r="114" spans="1:5" x14ac:dyDescent="0.25">
      <c r="A114">
        <v>42</v>
      </c>
      <c r="D114">
        <v>0.14000000000000001</v>
      </c>
    </row>
    <row r="115" spans="1:5" x14ac:dyDescent="0.25">
      <c r="A115">
        <v>43</v>
      </c>
      <c r="B115">
        <v>0.37010700000000002</v>
      </c>
      <c r="C115">
        <v>5.2631999999999998E-2</v>
      </c>
      <c r="D115">
        <v>0.85766399999999998</v>
      </c>
      <c r="E115">
        <v>0.230769</v>
      </c>
    </row>
    <row r="116" spans="1:5" x14ac:dyDescent="0.25">
      <c r="A116">
        <v>44</v>
      </c>
      <c r="B116">
        <v>0.98138700000000001</v>
      </c>
      <c r="C116">
        <v>0.9375</v>
      </c>
      <c r="D116">
        <v>1.0444869999999999</v>
      </c>
    </row>
    <row r="117" spans="1:5" x14ac:dyDescent="0.25">
      <c r="A117">
        <v>45</v>
      </c>
      <c r="B117">
        <v>2.4055E-2</v>
      </c>
      <c r="C117">
        <v>0.11092200000000001</v>
      </c>
    </row>
    <row r="118" spans="1:5" x14ac:dyDescent="0.25">
      <c r="A118">
        <v>47</v>
      </c>
      <c r="B118">
        <v>0</v>
      </c>
      <c r="C118">
        <v>5.2356E-2</v>
      </c>
      <c r="D118">
        <v>0.53571400000000002</v>
      </c>
    </row>
    <row r="119" spans="1:5" x14ac:dyDescent="0.25">
      <c r="A119">
        <v>48</v>
      </c>
    </row>
    <row r="120" spans="1:5" x14ac:dyDescent="0.25">
      <c r="A120">
        <v>49</v>
      </c>
      <c r="B120">
        <v>0</v>
      </c>
      <c r="C120">
        <v>9.2592999999999995E-2</v>
      </c>
      <c r="D120">
        <v>0.78534000000000004</v>
      </c>
    </row>
    <row r="121" spans="1:5" x14ac:dyDescent="0.25">
      <c r="A121">
        <v>50</v>
      </c>
      <c r="B121">
        <v>0</v>
      </c>
      <c r="C121">
        <v>8.7410000000000005E-3</v>
      </c>
      <c r="E121">
        <v>0.125</v>
      </c>
    </row>
    <row r="122" spans="1:5" x14ac:dyDescent="0.25">
      <c r="A122">
        <v>51</v>
      </c>
      <c r="B122">
        <v>1.1509799999999999</v>
      </c>
    </row>
    <row r="123" spans="1:5" x14ac:dyDescent="0.25">
      <c r="A123">
        <v>52</v>
      </c>
      <c r="B123">
        <v>1.6778999999999999E-2</v>
      </c>
      <c r="C123">
        <v>0.11453000000000001</v>
      </c>
    </row>
    <row r="124" spans="1:5" x14ac:dyDescent="0.25">
      <c r="A124">
        <v>53</v>
      </c>
      <c r="D124">
        <v>5.2449999999999997E-3</v>
      </c>
    </row>
    <row r="125" spans="1:5" x14ac:dyDescent="0.25">
      <c r="A125">
        <v>54</v>
      </c>
      <c r="B125">
        <v>0.225632</v>
      </c>
      <c r="C125">
        <v>0.153061</v>
      </c>
      <c r="D125">
        <v>0.24319099999999999</v>
      </c>
    </row>
    <row r="126" spans="1:5" x14ac:dyDescent="0.25">
      <c r="A126">
        <v>56</v>
      </c>
      <c r="B126">
        <v>1.372093</v>
      </c>
      <c r="C126">
        <v>0.64285700000000001</v>
      </c>
      <c r="E126">
        <v>7.8947000000000003E-2</v>
      </c>
    </row>
    <row r="127" spans="1:5" x14ac:dyDescent="0.25">
      <c r="A127">
        <v>57</v>
      </c>
      <c r="B127">
        <v>1.015385</v>
      </c>
      <c r="C127">
        <v>8.3299999999999997E-4</v>
      </c>
      <c r="D127">
        <v>0</v>
      </c>
      <c r="E127">
        <v>0.3</v>
      </c>
    </row>
    <row r="128" spans="1:5" x14ac:dyDescent="0.25">
      <c r="A128">
        <v>58</v>
      </c>
      <c r="C128">
        <v>7.5900999999999996E-2</v>
      </c>
    </row>
    <row r="129" spans="1:5" x14ac:dyDescent="0.25">
      <c r="A129">
        <v>59</v>
      </c>
    </row>
    <row r="130" spans="1:5" x14ac:dyDescent="0.25">
      <c r="A130">
        <v>60</v>
      </c>
      <c r="B130">
        <v>0.38184899999999999</v>
      </c>
      <c r="D130">
        <v>7.0795999999999998E-2</v>
      </c>
    </row>
    <row r="131" spans="1:5" x14ac:dyDescent="0.25">
      <c r="A131">
        <v>71</v>
      </c>
      <c r="B131">
        <v>0.81556700000000004</v>
      </c>
      <c r="C131">
        <v>9.4339999999999997E-3</v>
      </c>
    </row>
    <row r="132" spans="1:5" x14ac:dyDescent="0.25">
      <c r="A132">
        <v>73</v>
      </c>
      <c r="B132">
        <v>0.91750799999999999</v>
      </c>
      <c r="C132">
        <v>8.5470000000000008E-3</v>
      </c>
      <c r="D132">
        <v>5.0759999999999998E-3</v>
      </c>
    </row>
    <row r="133" spans="1:5" x14ac:dyDescent="0.25">
      <c r="A133">
        <v>74</v>
      </c>
      <c r="B133">
        <v>1.020583</v>
      </c>
    </row>
    <row r="134" spans="1:5" x14ac:dyDescent="0.25">
      <c r="A134">
        <v>75</v>
      </c>
      <c r="B134">
        <v>0.93835599999999997</v>
      </c>
      <c r="C134">
        <v>0.2</v>
      </c>
    </row>
    <row r="135" spans="1:5" x14ac:dyDescent="0.25">
      <c r="A135">
        <v>76</v>
      </c>
      <c r="D135">
        <v>0.974576</v>
      </c>
      <c r="E135">
        <v>0.32342700000000002</v>
      </c>
    </row>
    <row r="136" spans="1:5" x14ac:dyDescent="0.25">
      <c r="A136">
        <v>77</v>
      </c>
      <c r="B136">
        <v>0.25547399999999998</v>
      </c>
    </row>
    <row r="137" spans="1:5" x14ac:dyDescent="0.25">
      <c r="A137">
        <v>78</v>
      </c>
      <c r="B137">
        <v>1.0435540000000001</v>
      </c>
      <c r="C137">
        <v>0.17330999999999999</v>
      </c>
      <c r="E137">
        <v>0.28571400000000002</v>
      </c>
    </row>
    <row r="138" spans="1:5" x14ac:dyDescent="0.25">
      <c r="A138">
        <v>79</v>
      </c>
      <c r="C138">
        <v>0.538462</v>
      </c>
      <c r="D138">
        <v>1.62069</v>
      </c>
    </row>
    <row r="139" spans="1:5" x14ac:dyDescent="0.25">
      <c r="A139">
        <v>80</v>
      </c>
      <c r="B139">
        <v>1.006826</v>
      </c>
      <c r="C139">
        <v>1.1706350000000001</v>
      </c>
    </row>
    <row r="140" spans="1:5" x14ac:dyDescent="0.25">
      <c r="A140">
        <v>81</v>
      </c>
      <c r="C140">
        <v>2.5773000000000001E-2</v>
      </c>
      <c r="D140">
        <v>0.69852899999999996</v>
      </c>
      <c r="E140">
        <v>0.73604099999999995</v>
      </c>
    </row>
    <row r="141" spans="1:5" x14ac:dyDescent="0.25">
      <c r="A141">
        <v>83</v>
      </c>
      <c r="D141">
        <v>0.1</v>
      </c>
      <c r="E141">
        <v>0.16666700000000001</v>
      </c>
    </row>
    <row r="142" spans="1:5" x14ac:dyDescent="0.25">
      <c r="A142">
        <v>85</v>
      </c>
    </row>
    <row r="143" spans="1:5" x14ac:dyDescent="0.25">
      <c r="A143">
        <v>86</v>
      </c>
    </row>
    <row r="145" spans="1:6" ht="31.5" x14ac:dyDescent="0.5">
      <c r="B145" s="5" t="s">
        <v>30</v>
      </c>
    </row>
    <row r="146" spans="1:6" ht="21" x14ac:dyDescent="0.35">
      <c r="B146" s="25" t="s">
        <v>255</v>
      </c>
      <c r="C146" t="s">
        <v>275</v>
      </c>
    </row>
    <row r="147" spans="1:6" ht="21" x14ac:dyDescent="0.35">
      <c r="B147" s="13" t="s">
        <v>253</v>
      </c>
      <c r="C147" s="13"/>
      <c r="D147" s="13"/>
      <c r="E147" s="13"/>
    </row>
    <row r="148" spans="1:6" ht="21" x14ac:dyDescent="0.35">
      <c r="A148" s="2" t="s">
        <v>234</v>
      </c>
      <c r="B148" s="2" t="s">
        <v>114</v>
      </c>
      <c r="C148" s="2" t="s">
        <v>252</v>
      </c>
      <c r="D148" s="2" t="s">
        <v>115</v>
      </c>
      <c r="E148" s="2" t="s">
        <v>116</v>
      </c>
      <c r="F148" s="1"/>
    </row>
    <row r="149" spans="1:6" x14ac:dyDescent="0.25">
      <c r="A149">
        <v>1</v>
      </c>
      <c r="B149">
        <v>0.21074799999999999</v>
      </c>
      <c r="C149">
        <v>0.96462999999999999</v>
      </c>
      <c r="D149">
        <v>0.87411300000000003</v>
      </c>
      <c r="E149">
        <v>0</v>
      </c>
    </row>
    <row r="150" spans="1:6" x14ac:dyDescent="0.25">
      <c r="A150">
        <v>3</v>
      </c>
      <c r="B150">
        <v>0.73761900000000002</v>
      </c>
      <c r="C150">
        <v>1.0325120000000001</v>
      </c>
      <c r="D150">
        <v>0.92198599999999997</v>
      </c>
    </row>
    <row r="151" spans="1:6" x14ac:dyDescent="0.25">
      <c r="A151">
        <v>4</v>
      </c>
      <c r="B151">
        <v>0.94836699999999996</v>
      </c>
    </row>
    <row r="152" spans="1:6" x14ac:dyDescent="0.25">
      <c r="A152">
        <v>5</v>
      </c>
      <c r="B152">
        <v>1.0326660000000001</v>
      </c>
      <c r="D152">
        <v>0.69148900000000002</v>
      </c>
    </row>
    <row r="153" spans="1:6" x14ac:dyDescent="0.25">
      <c r="A153">
        <v>6</v>
      </c>
      <c r="B153">
        <v>0.99051599999999995</v>
      </c>
    </row>
    <row r="154" spans="1:6" x14ac:dyDescent="0.25">
      <c r="A154">
        <v>7</v>
      </c>
      <c r="B154">
        <v>1.0379350000000001</v>
      </c>
      <c r="C154">
        <v>1.0325120000000001</v>
      </c>
      <c r="D154">
        <v>1.0088649999999999</v>
      </c>
      <c r="E154">
        <v>0.5</v>
      </c>
    </row>
    <row r="155" spans="1:6" x14ac:dyDescent="0.25">
      <c r="A155">
        <v>8</v>
      </c>
      <c r="B155">
        <v>1.0273969999999999</v>
      </c>
      <c r="D155">
        <v>1.0478719999999999</v>
      </c>
    </row>
    <row r="156" spans="1:6" x14ac:dyDescent="0.25">
      <c r="A156">
        <v>9</v>
      </c>
      <c r="B156">
        <v>1.0221290000000001</v>
      </c>
      <c r="C156">
        <v>1.0450159999999999</v>
      </c>
      <c r="D156">
        <v>0.97163100000000002</v>
      </c>
    </row>
    <row r="157" spans="1:6" x14ac:dyDescent="0.25">
      <c r="A157">
        <v>12</v>
      </c>
      <c r="C157">
        <v>1.0450159999999999</v>
      </c>
      <c r="D157">
        <v>1.015957</v>
      </c>
    </row>
    <row r="158" spans="1:6" x14ac:dyDescent="0.25">
      <c r="A158">
        <v>13</v>
      </c>
      <c r="B158">
        <v>1.0326660000000001</v>
      </c>
      <c r="C158">
        <v>1.0110749999999999</v>
      </c>
      <c r="E158">
        <v>0.2</v>
      </c>
    </row>
    <row r="159" spans="1:6" x14ac:dyDescent="0.25">
      <c r="A159">
        <v>14</v>
      </c>
      <c r="B159">
        <v>1.0432030000000001</v>
      </c>
      <c r="C159">
        <v>1.06288</v>
      </c>
      <c r="D159">
        <v>0.91312099999999996</v>
      </c>
      <c r="E159">
        <v>0.02</v>
      </c>
    </row>
    <row r="160" spans="1:6" x14ac:dyDescent="0.25">
      <c r="A160">
        <v>15</v>
      </c>
      <c r="B160">
        <v>0.89568000000000003</v>
      </c>
      <c r="D160">
        <v>0.89893599999999996</v>
      </c>
    </row>
    <row r="161" spans="1:5" x14ac:dyDescent="0.25">
      <c r="A161">
        <v>16</v>
      </c>
      <c r="B161">
        <v>1.0432030000000001</v>
      </c>
      <c r="C161">
        <v>1.0575209999999999</v>
      </c>
      <c r="D161">
        <v>7.0921999999999999E-2</v>
      </c>
    </row>
    <row r="162" spans="1:5" x14ac:dyDescent="0.25">
      <c r="A162">
        <v>17</v>
      </c>
      <c r="C162">
        <v>1.036084</v>
      </c>
    </row>
    <row r="163" spans="1:5" x14ac:dyDescent="0.25">
      <c r="A163">
        <v>18</v>
      </c>
      <c r="B163">
        <v>1.0326660000000001</v>
      </c>
      <c r="C163">
        <v>1.0307249999999999</v>
      </c>
      <c r="D163">
        <v>1.039007</v>
      </c>
    </row>
    <row r="164" spans="1:5" x14ac:dyDescent="0.25">
      <c r="A164">
        <v>19</v>
      </c>
      <c r="B164">
        <v>1.0326660000000001</v>
      </c>
      <c r="C164">
        <v>0.73955000000000004</v>
      </c>
      <c r="D164">
        <v>1.037234</v>
      </c>
    </row>
    <row r="165" spans="1:5" x14ac:dyDescent="0.25">
      <c r="A165">
        <v>20</v>
      </c>
      <c r="B165">
        <v>0.82191800000000004</v>
      </c>
      <c r="D165">
        <v>0.72340400000000005</v>
      </c>
      <c r="E165">
        <v>1.2044440000000001</v>
      </c>
    </row>
    <row r="166" spans="1:5" x14ac:dyDescent="0.25">
      <c r="A166">
        <v>21</v>
      </c>
      <c r="B166">
        <v>1.0326660000000001</v>
      </c>
      <c r="C166">
        <v>1.06288</v>
      </c>
      <c r="D166">
        <v>1.056738</v>
      </c>
    </row>
    <row r="167" spans="1:5" x14ac:dyDescent="0.25">
      <c r="A167">
        <v>22</v>
      </c>
      <c r="C167">
        <v>1.0450159999999999</v>
      </c>
      <c r="D167">
        <v>1.0425530000000001</v>
      </c>
    </row>
    <row r="168" spans="1:5" x14ac:dyDescent="0.25">
      <c r="A168">
        <v>23</v>
      </c>
      <c r="B168">
        <v>0.52686999999999995</v>
      </c>
    </row>
    <row r="169" spans="1:5" x14ac:dyDescent="0.25">
      <c r="A169">
        <v>25</v>
      </c>
      <c r="B169">
        <v>1.041447</v>
      </c>
      <c r="C169">
        <v>1.0575209999999999</v>
      </c>
      <c r="D169">
        <v>1.04078</v>
      </c>
      <c r="E169">
        <v>1.0111110000000001</v>
      </c>
    </row>
    <row r="170" spans="1:5" x14ac:dyDescent="0.25">
      <c r="A170">
        <v>26</v>
      </c>
      <c r="B170">
        <v>0.99051599999999995</v>
      </c>
      <c r="C170">
        <v>0.73240400000000005</v>
      </c>
      <c r="D170">
        <v>1.035461</v>
      </c>
    </row>
    <row r="171" spans="1:5" x14ac:dyDescent="0.25">
      <c r="A171">
        <v>27</v>
      </c>
      <c r="B171">
        <v>0.99227299999999996</v>
      </c>
      <c r="D171">
        <v>0.93439700000000003</v>
      </c>
      <c r="E171">
        <v>1.2955559999999999</v>
      </c>
    </row>
    <row r="172" spans="1:5" x14ac:dyDescent="0.25">
      <c r="A172">
        <v>28</v>
      </c>
      <c r="C172">
        <v>0.99499800000000005</v>
      </c>
    </row>
    <row r="173" spans="1:5" x14ac:dyDescent="0.25">
      <c r="A173">
        <v>30</v>
      </c>
      <c r="B173">
        <v>1.0326660000000001</v>
      </c>
      <c r="C173">
        <v>1.0539480000000001</v>
      </c>
      <c r="E173">
        <v>1.1333329999999999</v>
      </c>
    </row>
    <row r="174" spans="1:5" x14ac:dyDescent="0.25">
      <c r="A174">
        <v>32</v>
      </c>
      <c r="B174">
        <v>1.0010540000000001</v>
      </c>
      <c r="C174">
        <v>0.75919999999999999</v>
      </c>
      <c r="D174">
        <v>1.035461</v>
      </c>
    </row>
    <row r="175" spans="1:5" x14ac:dyDescent="0.25">
      <c r="A175">
        <v>33</v>
      </c>
    </row>
    <row r="176" spans="1:5" x14ac:dyDescent="0.25">
      <c r="A176">
        <v>35</v>
      </c>
      <c r="B176">
        <v>1.0432030000000001</v>
      </c>
      <c r="C176">
        <v>0</v>
      </c>
      <c r="D176">
        <v>1.0425530000000001</v>
      </c>
    </row>
    <row r="177" spans="1:5" x14ac:dyDescent="0.25">
      <c r="A177">
        <v>36</v>
      </c>
      <c r="B177">
        <v>1.0010540000000001</v>
      </c>
      <c r="D177">
        <v>1.035461</v>
      </c>
    </row>
    <row r="178" spans="1:5" x14ac:dyDescent="0.25">
      <c r="A178">
        <v>37</v>
      </c>
      <c r="C178">
        <v>1.0128619999999999</v>
      </c>
      <c r="D178">
        <v>1.021277</v>
      </c>
      <c r="E178">
        <v>0.24444399999999999</v>
      </c>
    </row>
    <row r="179" spans="1:5" x14ac:dyDescent="0.25">
      <c r="A179">
        <v>38</v>
      </c>
      <c r="B179">
        <v>0.50579600000000002</v>
      </c>
      <c r="C179">
        <v>0.56091500000000005</v>
      </c>
      <c r="D179">
        <v>0.469858</v>
      </c>
    </row>
    <row r="180" spans="1:5" x14ac:dyDescent="0.25">
      <c r="A180">
        <v>39</v>
      </c>
      <c r="B180">
        <v>0.75869299999999995</v>
      </c>
      <c r="C180">
        <v>1.0414429999999999</v>
      </c>
      <c r="D180">
        <v>1.0425530000000001</v>
      </c>
    </row>
    <row r="181" spans="1:5" x14ac:dyDescent="0.25">
      <c r="A181">
        <v>40</v>
      </c>
      <c r="B181">
        <v>1.0115909999999999</v>
      </c>
    </row>
    <row r="182" spans="1:5" x14ac:dyDescent="0.25">
      <c r="A182">
        <v>41</v>
      </c>
      <c r="B182">
        <v>1.0221290000000001</v>
      </c>
      <c r="C182">
        <v>1.0396570000000001</v>
      </c>
    </row>
    <row r="183" spans="1:5" x14ac:dyDescent="0.25">
      <c r="A183">
        <v>42</v>
      </c>
      <c r="B183">
        <v>0</v>
      </c>
      <c r="C183">
        <v>1.0539480000000001</v>
      </c>
      <c r="D183">
        <v>0.79787200000000003</v>
      </c>
    </row>
    <row r="184" spans="1:5" x14ac:dyDescent="0.25">
      <c r="A184">
        <v>43</v>
      </c>
      <c r="B184">
        <v>1.036178</v>
      </c>
      <c r="C184">
        <v>1.014648</v>
      </c>
      <c r="D184">
        <v>1.0070920000000001</v>
      </c>
      <c r="E184">
        <v>6.6667000000000004E-2</v>
      </c>
    </row>
    <row r="185" spans="1:5" x14ac:dyDescent="0.25">
      <c r="A185">
        <v>44</v>
      </c>
      <c r="B185">
        <v>1.034422</v>
      </c>
      <c r="C185">
        <v>1.0539480000000001</v>
      </c>
      <c r="D185">
        <v>0</v>
      </c>
    </row>
    <row r="186" spans="1:5" x14ac:dyDescent="0.25">
      <c r="A186">
        <v>45</v>
      </c>
      <c r="C186">
        <v>0</v>
      </c>
    </row>
    <row r="187" spans="1:5" x14ac:dyDescent="0.25">
      <c r="A187">
        <v>47</v>
      </c>
      <c r="B187">
        <v>1.036178</v>
      </c>
      <c r="C187">
        <v>0.91282600000000003</v>
      </c>
      <c r="D187">
        <v>0.99290800000000001</v>
      </c>
    </row>
    <row r="188" spans="1:5" x14ac:dyDescent="0.25">
      <c r="A188">
        <v>48</v>
      </c>
      <c r="D188">
        <v>1.0106379999999999</v>
      </c>
    </row>
    <row r="189" spans="1:5" x14ac:dyDescent="0.25">
      <c r="A189">
        <v>49</v>
      </c>
      <c r="B189">
        <v>1.0010540000000001</v>
      </c>
      <c r="C189">
        <v>0.95569800000000005</v>
      </c>
      <c r="D189">
        <v>0.94680900000000001</v>
      </c>
    </row>
    <row r="190" spans="1:5" x14ac:dyDescent="0.25">
      <c r="A190">
        <v>50</v>
      </c>
      <c r="B190">
        <v>0.82191800000000004</v>
      </c>
      <c r="C190">
        <v>1.0325120000000001</v>
      </c>
      <c r="E190">
        <v>1.2977780000000001</v>
      </c>
    </row>
    <row r="191" spans="1:5" x14ac:dyDescent="0.25">
      <c r="A191">
        <v>51</v>
      </c>
      <c r="B191">
        <v>2.1075E-2</v>
      </c>
      <c r="C191">
        <v>3.5729999999999998E-3</v>
      </c>
    </row>
    <row r="192" spans="1:5" x14ac:dyDescent="0.25">
      <c r="A192">
        <v>52</v>
      </c>
      <c r="B192">
        <v>4.215E-2</v>
      </c>
      <c r="C192">
        <v>0.42693799999999998</v>
      </c>
    </row>
    <row r="193" spans="1:5" x14ac:dyDescent="0.25">
      <c r="A193">
        <v>53</v>
      </c>
      <c r="D193">
        <v>0</v>
      </c>
    </row>
    <row r="194" spans="1:5" x14ac:dyDescent="0.25">
      <c r="A194">
        <v>54</v>
      </c>
      <c r="B194">
        <v>0.96944200000000003</v>
      </c>
      <c r="C194">
        <v>0</v>
      </c>
      <c r="D194">
        <v>0.94148900000000002</v>
      </c>
    </row>
    <row r="195" spans="1:5" x14ac:dyDescent="0.25">
      <c r="A195">
        <v>56</v>
      </c>
      <c r="B195">
        <v>0.96944200000000003</v>
      </c>
      <c r="C195">
        <v>1.025366</v>
      </c>
      <c r="D195">
        <v>0</v>
      </c>
      <c r="E195">
        <v>1</v>
      </c>
    </row>
    <row r="196" spans="1:5" x14ac:dyDescent="0.25">
      <c r="A196">
        <v>57</v>
      </c>
      <c r="B196">
        <v>1.0010540000000001</v>
      </c>
      <c r="C196">
        <v>1.036084</v>
      </c>
      <c r="D196">
        <v>8.8649999999999996E-3</v>
      </c>
      <c r="E196">
        <v>8.8888999999999996E-2</v>
      </c>
    </row>
    <row r="197" spans="1:5" x14ac:dyDescent="0.25">
      <c r="A197">
        <v>58</v>
      </c>
      <c r="C197">
        <v>0.64308699999999996</v>
      </c>
    </row>
    <row r="198" spans="1:5" x14ac:dyDescent="0.25">
      <c r="A198">
        <v>59</v>
      </c>
    </row>
    <row r="199" spans="1:5" x14ac:dyDescent="0.25">
      <c r="A199">
        <v>60</v>
      </c>
      <c r="B199">
        <v>0.91675399999999996</v>
      </c>
      <c r="D199">
        <v>4.7871999999999998E-2</v>
      </c>
    </row>
    <row r="200" spans="1:5" x14ac:dyDescent="0.25">
      <c r="A200">
        <v>71</v>
      </c>
      <c r="B200">
        <v>1.051633</v>
      </c>
      <c r="C200">
        <v>0</v>
      </c>
    </row>
    <row r="201" spans="1:5" x14ac:dyDescent="0.25">
      <c r="A201">
        <v>73</v>
      </c>
      <c r="B201">
        <v>1.0326660000000001</v>
      </c>
      <c r="C201">
        <v>0.89317599999999997</v>
      </c>
      <c r="D201">
        <v>0</v>
      </c>
    </row>
    <row r="202" spans="1:5" x14ac:dyDescent="0.25">
      <c r="A202">
        <v>74</v>
      </c>
      <c r="B202">
        <v>1.0326660000000001</v>
      </c>
      <c r="C202">
        <v>0</v>
      </c>
    </row>
    <row r="203" spans="1:5" x14ac:dyDescent="0.25">
      <c r="A203">
        <v>75</v>
      </c>
      <c r="B203">
        <v>1.0221290000000001</v>
      </c>
      <c r="C203">
        <v>0.267953</v>
      </c>
    </row>
    <row r="204" spans="1:5" x14ac:dyDescent="0.25">
      <c r="A204">
        <v>76</v>
      </c>
      <c r="D204">
        <v>0</v>
      </c>
      <c r="E204">
        <v>1.2955559999999999</v>
      </c>
    </row>
    <row r="205" spans="1:5" x14ac:dyDescent="0.25">
      <c r="A205">
        <v>77</v>
      </c>
      <c r="B205">
        <v>1.0449600000000001</v>
      </c>
      <c r="D205">
        <v>1.04078</v>
      </c>
    </row>
    <row r="206" spans="1:5" x14ac:dyDescent="0.25">
      <c r="A206">
        <v>78</v>
      </c>
      <c r="B206">
        <v>0</v>
      </c>
      <c r="C206">
        <v>1.0396570000000001</v>
      </c>
      <c r="D206">
        <v>0</v>
      </c>
      <c r="E206">
        <v>0.84444399999999997</v>
      </c>
    </row>
    <row r="207" spans="1:5" x14ac:dyDescent="0.25">
      <c r="A207">
        <v>79</v>
      </c>
      <c r="C207">
        <v>0.98249399999999998</v>
      </c>
      <c r="D207">
        <v>0.78723399999999999</v>
      </c>
    </row>
    <row r="208" spans="1:5" x14ac:dyDescent="0.25">
      <c r="A208">
        <v>80</v>
      </c>
      <c r="B208">
        <v>0.87460499999999997</v>
      </c>
      <c r="C208">
        <v>1.0164340000000001</v>
      </c>
    </row>
    <row r="209" spans="1:5" x14ac:dyDescent="0.25">
      <c r="A209">
        <v>81</v>
      </c>
      <c r="C209">
        <v>1.0432300000000001</v>
      </c>
      <c r="D209">
        <v>0</v>
      </c>
      <c r="E209">
        <v>1.308889</v>
      </c>
    </row>
    <row r="210" spans="1:5" x14ac:dyDescent="0.25">
      <c r="A210">
        <v>83</v>
      </c>
      <c r="C210">
        <v>0.99499800000000005</v>
      </c>
      <c r="D210">
        <v>1.02305</v>
      </c>
      <c r="E210">
        <v>0.88888900000000004</v>
      </c>
    </row>
    <row r="211" spans="1:5" x14ac:dyDescent="0.25">
      <c r="A211">
        <v>85</v>
      </c>
      <c r="D211">
        <v>0.92198599999999997</v>
      </c>
    </row>
    <row r="212" spans="1:5" x14ac:dyDescent="0.25">
      <c r="A212">
        <v>86</v>
      </c>
    </row>
  </sheetData>
  <mergeCells count="1">
    <mergeCell ref="B78:E7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U216"/>
  <sheetViews>
    <sheetView topLeftCell="A133" zoomScale="90" zoomScaleNormal="90" workbookViewId="0">
      <selection activeCell="I135" sqref="I135"/>
    </sheetView>
  </sheetViews>
  <sheetFormatPr baseColWidth="10" defaultColWidth="9.140625" defaultRowHeight="15" x14ac:dyDescent="0.25"/>
  <cols>
    <col min="2" max="2" width="14" customWidth="1"/>
  </cols>
  <sheetData>
    <row r="3" spans="1:12" ht="31.5" x14ac:dyDescent="0.5">
      <c r="A3" s="4" t="s">
        <v>37</v>
      </c>
    </row>
    <row r="4" spans="1:12" ht="21" x14ac:dyDescent="0.35">
      <c r="A4" s="2" t="s">
        <v>44</v>
      </c>
      <c r="C4" s="2" t="s">
        <v>39</v>
      </c>
      <c r="D4" s="2"/>
      <c r="E4" s="2" t="s">
        <v>40</v>
      </c>
      <c r="F4" s="2"/>
      <c r="G4" s="2" t="s">
        <v>41</v>
      </c>
      <c r="H4" s="2"/>
      <c r="I4" s="2" t="s">
        <v>42</v>
      </c>
      <c r="J4" s="2"/>
      <c r="K4" s="2" t="s">
        <v>43</v>
      </c>
    </row>
    <row r="5" spans="1:12" x14ac:dyDescent="0.25">
      <c r="A5" t="s">
        <v>46</v>
      </c>
      <c r="C5" t="s">
        <v>45</v>
      </c>
      <c r="D5" t="s">
        <v>38</v>
      </c>
      <c r="E5" t="s">
        <v>45</v>
      </c>
      <c r="F5" t="s">
        <v>38</v>
      </c>
      <c r="G5" t="s">
        <v>45</v>
      </c>
      <c r="H5" t="s">
        <v>38</v>
      </c>
      <c r="I5" t="s">
        <v>45</v>
      </c>
      <c r="J5" t="s">
        <v>38</v>
      </c>
      <c r="K5" t="s">
        <v>45</v>
      </c>
      <c r="L5" t="s">
        <v>38</v>
      </c>
    </row>
    <row r="6" spans="1:12" x14ac:dyDescent="0.25">
      <c r="A6" t="s">
        <v>276</v>
      </c>
      <c r="C6">
        <v>1</v>
      </c>
      <c r="D6">
        <v>1</v>
      </c>
      <c r="E6">
        <v>0.41600500000000001</v>
      </c>
      <c r="F6">
        <v>0.44444400000000001</v>
      </c>
      <c r="G6">
        <v>0.52222199999999996</v>
      </c>
      <c r="H6">
        <v>0.66666700000000001</v>
      </c>
      <c r="I6">
        <v>0.30625000000000002</v>
      </c>
      <c r="J6">
        <v>0.3125</v>
      </c>
      <c r="K6">
        <v>0.162879</v>
      </c>
      <c r="L6">
        <v>0.16666700000000001</v>
      </c>
    </row>
    <row r="7" spans="1:12" x14ac:dyDescent="0.25">
      <c r="C7">
        <v>0.74166699999999997</v>
      </c>
      <c r="D7">
        <v>0.8</v>
      </c>
      <c r="E7">
        <v>0.17430599999999999</v>
      </c>
      <c r="F7">
        <v>0.2</v>
      </c>
      <c r="G7">
        <v>0.50793699999999997</v>
      </c>
      <c r="H7">
        <v>0.57142899999999996</v>
      </c>
      <c r="I7">
        <v>0.20833299999999999</v>
      </c>
      <c r="J7">
        <v>0.20833299999999999</v>
      </c>
      <c r="K7">
        <v>0.3</v>
      </c>
      <c r="L7">
        <v>0.3</v>
      </c>
    </row>
    <row r="8" spans="1:12" x14ac:dyDescent="0.25">
      <c r="C8">
        <v>0.31388899999999997</v>
      </c>
      <c r="D8">
        <v>0.35</v>
      </c>
      <c r="E8">
        <v>0.5625</v>
      </c>
      <c r="F8">
        <v>0.625</v>
      </c>
      <c r="G8">
        <v>0.45</v>
      </c>
      <c r="H8">
        <v>0.5</v>
      </c>
      <c r="I8">
        <v>0.375</v>
      </c>
      <c r="J8">
        <v>0.375</v>
      </c>
      <c r="K8">
        <v>0.282051</v>
      </c>
      <c r="L8">
        <v>0.33333299999999999</v>
      </c>
    </row>
    <row r="9" spans="1:12" x14ac:dyDescent="0.25">
      <c r="C9">
        <v>0.19047600000000001</v>
      </c>
      <c r="D9">
        <v>0.19047600000000001</v>
      </c>
      <c r="E9">
        <v>0.875</v>
      </c>
      <c r="F9">
        <v>1</v>
      </c>
      <c r="G9">
        <v>1.1666669999999999</v>
      </c>
      <c r="H9">
        <v>0.5</v>
      </c>
      <c r="I9">
        <v>0.41071400000000002</v>
      </c>
      <c r="J9">
        <v>0.42857099999999998</v>
      </c>
      <c r="K9">
        <v>0.69444399999999995</v>
      </c>
      <c r="L9">
        <v>0.75</v>
      </c>
    </row>
    <row r="10" spans="1:12" x14ac:dyDescent="0.25">
      <c r="C10">
        <v>0.56084699999999998</v>
      </c>
      <c r="D10">
        <v>0.66666700000000001</v>
      </c>
      <c r="E10">
        <v>0.588889</v>
      </c>
      <c r="F10">
        <v>0.66666700000000001</v>
      </c>
      <c r="G10">
        <v>0.82499999999999996</v>
      </c>
      <c r="H10">
        <v>0.875</v>
      </c>
      <c r="I10">
        <v>0.45952399999999999</v>
      </c>
      <c r="J10">
        <v>0.55000000000000004</v>
      </c>
      <c r="K10">
        <v>0.53571400000000002</v>
      </c>
      <c r="L10">
        <v>0.57142899999999996</v>
      </c>
    </row>
    <row r="11" spans="1:12" x14ac:dyDescent="0.25">
      <c r="C11">
        <v>1.1333329999999999</v>
      </c>
      <c r="D11">
        <v>1.3333330000000001</v>
      </c>
      <c r="E11">
        <v>7.3925000000000005E-2</v>
      </c>
      <c r="F11">
        <v>8.3333000000000004E-2</v>
      </c>
      <c r="G11">
        <v>0.2</v>
      </c>
      <c r="H11">
        <v>0.2</v>
      </c>
      <c r="I11">
        <v>0.17424200000000001</v>
      </c>
      <c r="J11">
        <v>0.18181800000000001</v>
      </c>
      <c r="K11">
        <v>9.3994999999999995E-2</v>
      </c>
      <c r="L11">
        <v>0.1</v>
      </c>
    </row>
    <row r="12" spans="1:12" x14ac:dyDescent="0.25">
      <c r="C12">
        <v>1</v>
      </c>
      <c r="D12">
        <v>1</v>
      </c>
      <c r="E12">
        <v>0.48148099999999999</v>
      </c>
      <c r="F12">
        <v>0.6</v>
      </c>
      <c r="G12">
        <v>0.3</v>
      </c>
      <c r="H12">
        <v>0.3</v>
      </c>
      <c r="I12">
        <v>0.6</v>
      </c>
      <c r="J12">
        <v>0.82399999999999995</v>
      </c>
      <c r="K12">
        <v>0.2</v>
      </c>
      <c r="L12">
        <v>0.2</v>
      </c>
    </row>
    <row r="13" spans="1:12" x14ac:dyDescent="0.25">
      <c r="C13">
        <v>0.70833299999999999</v>
      </c>
      <c r="D13">
        <v>0.75</v>
      </c>
      <c r="E13">
        <v>0.32291700000000001</v>
      </c>
      <c r="F13">
        <v>0.33333299999999999</v>
      </c>
      <c r="G13">
        <v>0.47619</v>
      </c>
      <c r="H13">
        <v>0.5</v>
      </c>
      <c r="I13">
        <v>0.45</v>
      </c>
      <c r="J13">
        <v>0.5</v>
      </c>
      <c r="K13">
        <v>0.20279700000000001</v>
      </c>
      <c r="L13">
        <v>0.272727</v>
      </c>
    </row>
    <row r="14" spans="1:12" x14ac:dyDescent="0.25">
      <c r="C14">
        <v>0.95833299999999999</v>
      </c>
      <c r="D14">
        <v>1.1666669999999999</v>
      </c>
      <c r="E14">
        <v>0.165046</v>
      </c>
      <c r="F14">
        <v>0.2</v>
      </c>
      <c r="G14">
        <v>0.33333299999999999</v>
      </c>
      <c r="H14">
        <v>0.33333299999999999</v>
      </c>
      <c r="I14">
        <v>0.6</v>
      </c>
      <c r="J14">
        <v>0.6</v>
      </c>
      <c r="K14">
        <v>0.32500000000000001</v>
      </c>
      <c r="L14">
        <v>0.4</v>
      </c>
    </row>
    <row r="15" spans="1:12" x14ac:dyDescent="0.25">
      <c r="C15">
        <v>0.51736099999999996</v>
      </c>
      <c r="D15">
        <v>0.625</v>
      </c>
      <c r="E15">
        <v>0.36363600000000001</v>
      </c>
      <c r="F15">
        <v>0.36363600000000001</v>
      </c>
      <c r="G15">
        <v>0.63333300000000003</v>
      </c>
      <c r="H15">
        <v>1</v>
      </c>
      <c r="I15">
        <v>0.26666699999999999</v>
      </c>
      <c r="J15">
        <v>0.33333299999999999</v>
      </c>
      <c r="K15">
        <v>0.78333299999999995</v>
      </c>
      <c r="L15">
        <v>0.8</v>
      </c>
    </row>
    <row r="16" spans="1:12" x14ac:dyDescent="0.25">
      <c r="C16">
        <v>0.3125</v>
      </c>
      <c r="D16">
        <v>0.33333299999999999</v>
      </c>
      <c r="E16">
        <v>7.6923000000000005E-2</v>
      </c>
      <c r="F16">
        <v>7.6923000000000005E-2</v>
      </c>
      <c r="G16">
        <v>0.5</v>
      </c>
      <c r="H16">
        <v>0.5</v>
      </c>
      <c r="I16">
        <v>0.5</v>
      </c>
      <c r="J16">
        <v>0.6</v>
      </c>
      <c r="K16">
        <v>0.79166700000000001</v>
      </c>
      <c r="L16">
        <v>1</v>
      </c>
    </row>
    <row r="17" spans="3:8" x14ac:dyDescent="0.25">
      <c r="C17">
        <v>0.81388899999999997</v>
      </c>
      <c r="D17">
        <v>0.9</v>
      </c>
      <c r="E17">
        <v>1.0444439999999999</v>
      </c>
      <c r="F17">
        <v>1.5</v>
      </c>
      <c r="G17">
        <v>0.55000000000000004</v>
      </c>
      <c r="H17">
        <v>0.6</v>
      </c>
    </row>
    <row r="18" spans="3:8" x14ac:dyDescent="0.25">
      <c r="C18">
        <v>0.29914499999999999</v>
      </c>
      <c r="D18">
        <v>0.93333299999999997</v>
      </c>
      <c r="E18">
        <v>0.32094800000000001</v>
      </c>
      <c r="F18">
        <v>0.36363600000000001</v>
      </c>
      <c r="G18">
        <v>0.661111</v>
      </c>
      <c r="H18">
        <v>0.8</v>
      </c>
    </row>
    <row r="19" spans="3:8" x14ac:dyDescent="0.25">
      <c r="C19">
        <v>0.61904800000000004</v>
      </c>
      <c r="D19">
        <v>0.66666700000000001</v>
      </c>
      <c r="E19">
        <v>0.72222200000000003</v>
      </c>
      <c r="F19">
        <v>1</v>
      </c>
      <c r="G19">
        <v>0.26363599999999998</v>
      </c>
      <c r="H19">
        <v>0.3</v>
      </c>
    </row>
    <row r="20" spans="3:8" x14ac:dyDescent="0.25">
      <c r="C20">
        <v>0.98611099999999996</v>
      </c>
      <c r="D20">
        <v>1.3333330000000001</v>
      </c>
      <c r="E20">
        <v>0.5</v>
      </c>
      <c r="F20">
        <v>0.5</v>
      </c>
      <c r="G20">
        <v>1.05</v>
      </c>
      <c r="H20">
        <v>1.3333330000000001</v>
      </c>
    </row>
    <row r="21" spans="3:8" x14ac:dyDescent="0.25">
      <c r="C21">
        <v>0.93333299999999997</v>
      </c>
      <c r="D21">
        <v>1</v>
      </c>
      <c r="E21">
        <v>0.93333299999999997</v>
      </c>
      <c r="F21">
        <v>1</v>
      </c>
      <c r="G21">
        <v>0.26363599999999998</v>
      </c>
      <c r="H21">
        <v>0.3</v>
      </c>
    </row>
    <row r="22" spans="3:8" x14ac:dyDescent="0.25">
      <c r="C22">
        <v>0.7</v>
      </c>
      <c r="D22">
        <v>0.9</v>
      </c>
      <c r="E22">
        <v>0.53571400000000002</v>
      </c>
      <c r="F22">
        <v>0.57142899999999996</v>
      </c>
      <c r="G22">
        <v>1.05</v>
      </c>
      <c r="H22">
        <v>1.3333330000000001</v>
      </c>
    </row>
    <row r="23" spans="3:8" x14ac:dyDescent="0.25">
      <c r="C23">
        <v>1.1944440000000001</v>
      </c>
      <c r="D23">
        <v>1.3333330000000001</v>
      </c>
    </row>
    <row r="24" spans="3:8" x14ac:dyDescent="0.25">
      <c r="C24">
        <v>0.39444400000000002</v>
      </c>
      <c r="D24">
        <v>0.6</v>
      </c>
    </row>
    <row r="25" spans="3:8" x14ac:dyDescent="0.25">
      <c r="C25">
        <v>0.271368</v>
      </c>
      <c r="D25">
        <v>0.92543299999999995</v>
      </c>
    </row>
    <row r="26" spans="3:8" x14ac:dyDescent="0.25">
      <c r="C26">
        <v>0.93333299999999997</v>
      </c>
      <c r="D26">
        <v>1</v>
      </c>
    </row>
    <row r="27" spans="3:8" x14ac:dyDescent="0.25">
      <c r="C27">
        <v>0.38888899999999998</v>
      </c>
      <c r="D27">
        <v>0.75</v>
      </c>
    </row>
    <row r="28" spans="3:8" x14ac:dyDescent="0.25">
      <c r="C28">
        <v>0.52910100000000004</v>
      </c>
      <c r="D28">
        <v>0.57142899999999996</v>
      </c>
    </row>
    <row r="29" spans="3:8" x14ac:dyDescent="0.25">
      <c r="C29">
        <v>0.69047599999999998</v>
      </c>
      <c r="D29">
        <v>1</v>
      </c>
    </row>
    <row r="33" spans="1:12" ht="28.5" x14ac:dyDescent="0.45">
      <c r="A33" s="9" t="s">
        <v>47</v>
      </c>
      <c r="D33" s="2" t="s">
        <v>48</v>
      </c>
    </row>
    <row r="34" spans="1:12" ht="21" x14ac:dyDescent="0.35">
      <c r="A34" s="2" t="s">
        <v>44</v>
      </c>
      <c r="C34" s="2" t="s">
        <v>39</v>
      </c>
      <c r="D34" s="2"/>
      <c r="E34" s="2" t="s">
        <v>40</v>
      </c>
      <c r="F34" s="2"/>
      <c r="G34" s="2" t="s">
        <v>41</v>
      </c>
      <c r="H34" s="2"/>
      <c r="I34" s="2" t="s">
        <v>42</v>
      </c>
      <c r="J34" s="2"/>
      <c r="K34" s="2" t="s">
        <v>43</v>
      </c>
    </row>
    <row r="35" spans="1:12" x14ac:dyDescent="0.25">
      <c r="C35" t="s">
        <v>49</v>
      </c>
      <c r="D35" t="s">
        <v>50</v>
      </c>
      <c r="E35" t="s">
        <v>49</v>
      </c>
      <c r="F35" t="s">
        <v>50</v>
      </c>
      <c r="G35" t="s">
        <v>49</v>
      </c>
      <c r="H35" t="s">
        <v>50</v>
      </c>
      <c r="I35" t="s">
        <v>49</v>
      </c>
      <c r="J35" t="s">
        <v>50</v>
      </c>
      <c r="K35" t="s">
        <v>49</v>
      </c>
      <c r="L35" t="s">
        <v>50</v>
      </c>
    </row>
    <row r="36" spans="1:12" x14ac:dyDescent="0.25">
      <c r="C36">
        <v>2.5000000000000001E-2</v>
      </c>
      <c r="D36">
        <v>0.94666700000000004</v>
      </c>
      <c r="E36">
        <v>0.93</v>
      </c>
      <c r="F36">
        <v>0.973333</v>
      </c>
      <c r="G36">
        <v>0.97499999999999998</v>
      </c>
      <c r="H36">
        <v>0.97166699999999995</v>
      </c>
      <c r="I36">
        <v>0.95833299999999999</v>
      </c>
      <c r="J36">
        <v>0.95333299999999999</v>
      </c>
      <c r="K36">
        <v>0.87833300000000003</v>
      </c>
      <c r="L36">
        <v>0.90333300000000005</v>
      </c>
    </row>
    <row r="37" spans="1:12" x14ac:dyDescent="0.25">
      <c r="C37">
        <v>0.16666700000000001</v>
      </c>
      <c r="D37">
        <v>0.92333299999999996</v>
      </c>
      <c r="E37">
        <v>0.23333300000000001</v>
      </c>
      <c r="F37">
        <v>5.0000000000000001E-3</v>
      </c>
      <c r="G37">
        <v>0.183333</v>
      </c>
      <c r="H37">
        <v>0.95</v>
      </c>
      <c r="I37">
        <v>5.0000000000000001E-3</v>
      </c>
      <c r="J37">
        <v>8.3330000000000001E-3</v>
      </c>
      <c r="K37">
        <v>0</v>
      </c>
      <c r="L37">
        <v>2.5000000000000001E-2</v>
      </c>
    </row>
    <row r="38" spans="1:12" x14ac:dyDescent="0.25">
      <c r="C38">
        <v>0.98</v>
      </c>
      <c r="D38">
        <v>0.98</v>
      </c>
      <c r="E38">
        <v>0.78333299999999995</v>
      </c>
      <c r="F38">
        <v>3.333E-3</v>
      </c>
      <c r="G38">
        <v>0.15</v>
      </c>
      <c r="H38">
        <v>0.48333300000000001</v>
      </c>
      <c r="I38">
        <v>0.81166700000000003</v>
      </c>
      <c r="J38">
        <v>0.8</v>
      </c>
      <c r="K38">
        <v>0.97</v>
      </c>
      <c r="L38">
        <v>0.968333</v>
      </c>
    </row>
    <row r="39" spans="1:12" x14ac:dyDescent="0.25">
      <c r="C39">
        <v>0.87333300000000003</v>
      </c>
      <c r="D39">
        <v>0.95666700000000005</v>
      </c>
      <c r="E39">
        <v>0.466667</v>
      </c>
      <c r="F39">
        <v>0.96333299999999999</v>
      </c>
      <c r="G39">
        <v>0.98333300000000001</v>
      </c>
      <c r="H39">
        <v>0.99333300000000002</v>
      </c>
      <c r="I39">
        <v>7.4999999999999997E-2</v>
      </c>
      <c r="J39">
        <v>8.3330000000000001E-3</v>
      </c>
      <c r="K39">
        <v>0.57833299999999999</v>
      </c>
      <c r="L39">
        <v>0.83333299999999999</v>
      </c>
    </row>
    <row r="40" spans="1:12" x14ac:dyDescent="0.25">
      <c r="C40">
        <v>0.85</v>
      </c>
      <c r="D40">
        <v>0.99</v>
      </c>
      <c r="E40">
        <v>0.85833300000000001</v>
      </c>
      <c r="F40">
        <v>0.98833300000000002</v>
      </c>
      <c r="G40">
        <v>0.94333299999999998</v>
      </c>
      <c r="H40">
        <v>0.96333299999999999</v>
      </c>
      <c r="I40">
        <v>0.60333300000000001</v>
      </c>
      <c r="J40">
        <v>0.98333300000000001</v>
      </c>
      <c r="K40">
        <v>0.95333299999999999</v>
      </c>
      <c r="L40">
        <v>0.98833300000000002</v>
      </c>
    </row>
    <row r="41" spans="1:12" x14ac:dyDescent="0.25">
      <c r="C41">
        <v>0.9</v>
      </c>
      <c r="D41">
        <v>0.98166699999999996</v>
      </c>
      <c r="E41">
        <v>0</v>
      </c>
      <c r="F41">
        <v>0.75</v>
      </c>
      <c r="G41">
        <v>5.8333000000000003E-2</v>
      </c>
      <c r="H41">
        <v>6.6667000000000004E-2</v>
      </c>
      <c r="I41">
        <v>0.901667</v>
      </c>
      <c r="J41">
        <v>0.97</v>
      </c>
      <c r="K41">
        <v>0.26666699999999999</v>
      </c>
      <c r="L41">
        <v>0.33333299999999999</v>
      </c>
    </row>
    <row r="42" spans="1:12" x14ac:dyDescent="0.25">
      <c r="C42">
        <v>0.38333299999999998</v>
      </c>
      <c r="D42">
        <v>0.86666699999999997</v>
      </c>
      <c r="E42">
        <v>0.98</v>
      </c>
      <c r="F42">
        <v>0.97666699999999995</v>
      </c>
      <c r="G42">
        <v>3.3333000000000002E-2</v>
      </c>
      <c r="H42">
        <v>0.88333300000000003</v>
      </c>
      <c r="I42">
        <v>0.776667</v>
      </c>
      <c r="J42">
        <v>0.93333299999999997</v>
      </c>
      <c r="K42">
        <v>1.6667000000000001E-2</v>
      </c>
      <c r="L42">
        <v>6.6667000000000004E-2</v>
      </c>
    </row>
    <row r="43" spans="1:12" x14ac:dyDescent="0.25">
      <c r="C43">
        <v>0.88666699999999998</v>
      </c>
      <c r="D43">
        <v>0.97833300000000001</v>
      </c>
      <c r="E43">
        <v>0.86666699999999997</v>
      </c>
      <c r="F43">
        <v>0.97499999999999998</v>
      </c>
      <c r="G43">
        <v>0.93666700000000003</v>
      </c>
      <c r="H43">
        <v>0.98166699999999996</v>
      </c>
      <c r="I43">
        <v>0.82666700000000004</v>
      </c>
      <c r="J43">
        <v>0.93166700000000002</v>
      </c>
      <c r="K43">
        <v>0.93166700000000002</v>
      </c>
      <c r="L43">
        <v>0.98499999999999999</v>
      </c>
    </row>
    <row r="44" spans="1:12" x14ac:dyDescent="0.25">
      <c r="C44">
        <v>0.99666699999999997</v>
      </c>
      <c r="D44">
        <v>0.99666699999999997</v>
      </c>
      <c r="E44">
        <v>5.8333000000000003E-2</v>
      </c>
      <c r="F44">
        <v>0.11666700000000001</v>
      </c>
      <c r="G44">
        <v>0.58333299999999999</v>
      </c>
      <c r="H44">
        <v>0.973333</v>
      </c>
      <c r="I44">
        <v>0.56666700000000003</v>
      </c>
      <c r="J44">
        <v>0.43333300000000002</v>
      </c>
      <c r="K44">
        <v>0.69333299999999998</v>
      </c>
      <c r="L44">
        <v>0.6</v>
      </c>
    </row>
    <row r="45" spans="1:12" x14ac:dyDescent="0.25">
      <c r="C45">
        <v>5.8333000000000003E-2</v>
      </c>
      <c r="D45">
        <v>0.41666700000000001</v>
      </c>
      <c r="E45">
        <v>0.87333300000000003</v>
      </c>
      <c r="F45">
        <v>0.73499999999999999</v>
      </c>
      <c r="G45">
        <v>0.72166699999999995</v>
      </c>
      <c r="H45">
        <v>0.93333299999999997</v>
      </c>
      <c r="I45">
        <v>0</v>
      </c>
      <c r="J45">
        <v>8.3330000000000001E-3</v>
      </c>
      <c r="K45">
        <v>0.81666700000000003</v>
      </c>
      <c r="L45">
        <v>0.95166700000000004</v>
      </c>
    </row>
    <row r="46" spans="1:12" x14ac:dyDescent="0.25">
      <c r="C46">
        <v>0</v>
      </c>
      <c r="D46">
        <v>6.1667E-2</v>
      </c>
      <c r="E46">
        <v>0.73499999999999999</v>
      </c>
      <c r="F46">
        <v>0.43333300000000002</v>
      </c>
      <c r="G46">
        <v>9.1666999999999998E-2</v>
      </c>
      <c r="H46">
        <v>4.1667000000000003E-2</v>
      </c>
      <c r="I46">
        <v>0.73333300000000001</v>
      </c>
      <c r="J46">
        <v>0.93666700000000003</v>
      </c>
      <c r="K46">
        <v>0.94833299999999998</v>
      </c>
      <c r="L46">
        <v>0.97833300000000001</v>
      </c>
    </row>
    <row r="47" spans="1:12" x14ac:dyDescent="0.25">
      <c r="C47">
        <v>0.973333</v>
      </c>
      <c r="D47">
        <v>0.98833300000000002</v>
      </c>
      <c r="E47">
        <v>0.94333299999999998</v>
      </c>
      <c r="F47">
        <v>0.98499999999999999</v>
      </c>
      <c r="G47">
        <v>5.8333000000000003E-2</v>
      </c>
      <c r="H47">
        <v>4.1667000000000003E-2</v>
      </c>
    </row>
    <row r="48" spans="1:12" x14ac:dyDescent="0.25">
      <c r="C48">
        <v>0.7</v>
      </c>
      <c r="D48">
        <v>0.23333300000000001</v>
      </c>
      <c r="E48">
        <v>0.98499999999999999</v>
      </c>
      <c r="F48">
        <v>0.96333299999999999</v>
      </c>
      <c r="G48">
        <v>0.78333299999999995</v>
      </c>
      <c r="H48">
        <v>0.97666699999999995</v>
      </c>
    </row>
    <row r="49" spans="1:21" x14ac:dyDescent="0.25">
      <c r="C49">
        <v>0.05</v>
      </c>
      <c r="D49">
        <v>0.78333299999999995</v>
      </c>
      <c r="E49">
        <v>0.96666700000000005</v>
      </c>
      <c r="F49">
        <v>0.97666699999999995</v>
      </c>
      <c r="G49">
        <v>0.216667</v>
      </c>
      <c r="H49">
        <v>0.53333299999999995</v>
      </c>
    </row>
    <row r="50" spans="1:21" x14ac:dyDescent="0.25">
      <c r="C50">
        <v>0.55000000000000004</v>
      </c>
      <c r="D50">
        <v>0.94166700000000003</v>
      </c>
      <c r="E50">
        <v>0.598333</v>
      </c>
      <c r="F50">
        <v>0.61666699999999997</v>
      </c>
      <c r="G50">
        <v>0.89333300000000004</v>
      </c>
      <c r="H50">
        <v>0.99666699999999997</v>
      </c>
    </row>
    <row r="51" spans="1:21" x14ac:dyDescent="0.25">
      <c r="C51">
        <v>0.75</v>
      </c>
      <c r="D51">
        <v>0.98499999999999999</v>
      </c>
      <c r="E51">
        <v>0.97499999999999998</v>
      </c>
      <c r="F51">
        <v>0.93333299999999997</v>
      </c>
      <c r="G51">
        <v>0.216667</v>
      </c>
      <c r="H51">
        <v>0.53333299999999995</v>
      </c>
    </row>
    <row r="52" spans="1:21" x14ac:dyDescent="0.25">
      <c r="C52">
        <v>0.97666699999999995</v>
      </c>
      <c r="D52">
        <v>0.98</v>
      </c>
      <c r="E52">
        <v>0.526667</v>
      </c>
      <c r="F52">
        <v>0.97666699999999995</v>
      </c>
      <c r="G52">
        <v>0.89333300000000004</v>
      </c>
      <c r="H52">
        <v>0.99666699999999997</v>
      </c>
    </row>
    <row r="53" spans="1:21" x14ac:dyDescent="0.25">
      <c r="C53">
        <v>0.97833300000000001</v>
      </c>
      <c r="D53">
        <v>0.99333300000000002</v>
      </c>
    </row>
    <row r="54" spans="1:21" x14ac:dyDescent="0.25">
      <c r="C54">
        <v>0.3</v>
      </c>
      <c r="D54">
        <v>0.95166700000000004</v>
      </c>
    </row>
    <row r="55" spans="1:21" x14ac:dyDescent="0.25">
      <c r="C55">
        <v>0.97833300000000001</v>
      </c>
      <c r="D55">
        <v>0.95166700000000004</v>
      </c>
    </row>
    <row r="56" spans="1:21" x14ac:dyDescent="0.25">
      <c r="C56">
        <v>0.216667</v>
      </c>
      <c r="D56">
        <v>0.76666699999999999</v>
      </c>
    </row>
    <row r="57" spans="1:21" x14ac:dyDescent="0.25">
      <c r="C57">
        <v>0.466667</v>
      </c>
      <c r="D57">
        <v>0.94833299999999998</v>
      </c>
      <c r="U57" t="s">
        <v>232</v>
      </c>
    </row>
    <row r="58" spans="1:21" x14ac:dyDescent="0.25">
      <c r="C58">
        <v>0.61666699999999997</v>
      </c>
      <c r="D58">
        <v>0.89333300000000004</v>
      </c>
    </row>
    <row r="59" spans="1:21" x14ac:dyDescent="0.25">
      <c r="C59">
        <v>0.31666699999999998</v>
      </c>
      <c r="D59">
        <v>0.81666700000000003</v>
      </c>
    </row>
    <row r="63" spans="1:21" ht="28.5" x14ac:dyDescent="0.45">
      <c r="A63" s="9" t="s">
        <v>51</v>
      </c>
      <c r="D63" s="2" t="s">
        <v>277</v>
      </c>
      <c r="F63" t="s">
        <v>278</v>
      </c>
    </row>
    <row r="64" spans="1:21" ht="21" x14ac:dyDescent="0.35">
      <c r="A64" s="2" t="s">
        <v>44</v>
      </c>
      <c r="C64" s="2" t="s">
        <v>39</v>
      </c>
      <c r="D64" s="2" t="s">
        <v>40</v>
      </c>
      <c r="E64" s="2" t="s">
        <v>41</v>
      </c>
      <c r="F64" s="2" t="s">
        <v>42</v>
      </c>
      <c r="G64" s="2" t="s">
        <v>43</v>
      </c>
      <c r="H64" s="2"/>
      <c r="J64" s="2"/>
    </row>
    <row r="65" spans="3:7" x14ac:dyDescent="0.25">
      <c r="C65">
        <v>0.99649100000000002</v>
      </c>
      <c r="D65">
        <v>1.0245610000000001</v>
      </c>
      <c r="E65">
        <v>1.022807</v>
      </c>
      <c r="F65">
        <v>1.003509</v>
      </c>
      <c r="G65">
        <v>0.95087699999999997</v>
      </c>
    </row>
    <row r="66" spans="3:7" x14ac:dyDescent="0.25">
      <c r="C66">
        <v>0.97192999999999996</v>
      </c>
      <c r="D66">
        <v>5.2630000000000003E-3</v>
      </c>
      <c r="E66">
        <v>1</v>
      </c>
      <c r="F66">
        <v>8.7720000000000003E-3</v>
      </c>
      <c r="G66">
        <v>2.6315999999999999E-2</v>
      </c>
    </row>
    <row r="67" spans="3:7" x14ac:dyDescent="0.25">
      <c r="C67">
        <v>1.031579</v>
      </c>
      <c r="D67">
        <v>3.509E-3</v>
      </c>
      <c r="E67">
        <v>0.508772</v>
      </c>
      <c r="F67">
        <v>0.84210499999999999</v>
      </c>
      <c r="G67">
        <v>1.019298</v>
      </c>
    </row>
    <row r="68" spans="3:7" x14ac:dyDescent="0.25">
      <c r="C68">
        <v>1.007018</v>
      </c>
      <c r="D68">
        <v>1.014035</v>
      </c>
      <c r="E68">
        <v>1.045614</v>
      </c>
      <c r="F68">
        <v>8.7720000000000003E-3</v>
      </c>
      <c r="G68">
        <v>0.877193</v>
      </c>
    </row>
    <row r="69" spans="3:7" x14ac:dyDescent="0.25">
      <c r="C69">
        <v>1.0421050000000001</v>
      </c>
      <c r="D69">
        <v>1.040351</v>
      </c>
      <c r="E69">
        <v>1.014035</v>
      </c>
      <c r="F69">
        <v>0.58350880000000005</v>
      </c>
      <c r="G69">
        <v>1.040351</v>
      </c>
    </row>
    <row r="70" spans="3:7" x14ac:dyDescent="0.25">
      <c r="C70">
        <v>1.0333330000000001</v>
      </c>
      <c r="D70">
        <v>0.78947400000000001</v>
      </c>
      <c r="E70">
        <v>7.0175000000000001E-2</v>
      </c>
      <c r="F70">
        <v>1.021053</v>
      </c>
      <c r="G70">
        <v>0.35087699999999999</v>
      </c>
    </row>
    <row r="71" spans="3:7" x14ac:dyDescent="0.25">
      <c r="C71">
        <v>0.91228100000000001</v>
      </c>
      <c r="D71">
        <v>1.02807</v>
      </c>
      <c r="E71">
        <v>0.92982500000000001</v>
      </c>
      <c r="F71">
        <v>0.982456</v>
      </c>
      <c r="G71">
        <v>7.0175000000000001E-2</v>
      </c>
    </row>
    <row r="72" spans="3:7" x14ac:dyDescent="0.25">
      <c r="C72">
        <v>1.029825</v>
      </c>
      <c r="D72">
        <v>1.026316</v>
      </c>
      <c r="E72">
        <v>1.0333330000000001</v>
      </c>
      <c r="F72">
        <v>0.98070199999999996</v>
      </c>
      <c r="G72">
        <v>1.036842</v>
      </c>
    </row>
    <row r="73" spans="3:7" x14ac:dyDescent="0.25">
      <c r="C73">
        <v>1.049123</v>
      </c>
      <c r="D73">
        <v>0.122807</v>
      </c>
      <c r="E73">
        <v>1.0245610000000001</v>
      </c>
      <c r="F73">
        <v>0.45613999999999999</v>
      </c>
      <c r="G73">
        <v>0.631579</v>
      </c>
    </row>
    <row r="74" spans="3:7" x14ac:dyDescent="0.25">
      <c r="C74">
        <v>0.43859599999999999</v>
      </c>
      <c r="D74">
        <v>0.77368400000000004</v>
      </c>
      <c r="E74">
        <v>0.982456</v>
      </c>
      <c r="F74">
        <v>8.7720000000000003E-3</v>
      </c>
      <c r="G74">
        <v>1.001754</v>
      </c>
    </row>
    <row r="75" spans="3:7" x14ac:dyDescent="0.25">
      <c r="C75">
        <v>6.4911999999999997E-2</v>
      </c>
      <c r="D75">
        <v>0.45613999999999999</v>
      </c>
      <c r="E75">
        <v>4.3860000000000003E-2</v>
      </c>
      <c r="F75">
        <v>0.98596499999999998</v>
      </c>
      <c r="G75">
        <v>1.029825</v>
      </c>
    </row>
    <row r="76" spans="3:7" x14ac:dyDescent="0.25">
      <c r="C76">
        <v>1.040351</v>
      </c>
      <c r="D76">
        <v>1.036842</v>
      </c>
      <c r="E76">
        <v>4.3860000000000003E-2</v>
      </c>
    </row>
    <row r="77" spans="3:7" x14ac:dyDescent="0.25">
      <c r="C77">
        <v>0.245614</v>
      </c>
      <c r="D77">
        <v>1.014035</v>
      </c>
      <c r="E77">
        <v>1.02807</v>
      </c>
    </row>
    <row r="78" spans="3:7" x14ac:dyDescent="0.25">
      <c r="C78">
        <v>0.82456099999999999</v>
      </c>
      <c r="D78">
        <v>1.02807</v>
      </c>
      <c r="E78">
        <v>0.56140400000000001</v>
      </c>
    </row>
    <row r="79" spans="3:7" x14ac:dyDescent="0.25">
      <c r="C79">
        <v>0.991228</v>
      </c>
      <c r="D79">
        <v>0.64912300000000001</v>
      </c>
      <c r="E79">
        <v>1.049123</v>
      </c>
    </row>
    <row r="80" spans="3:7" x14ac:dyDescent="0.25">
      <c r="C80">
        <v>1.036842</v>
      </c>
      <c r="D80">
        <v>0.982456</v>
      </c>
      <c r="E80">
        <v>0.56140400000000001</v>
      </c>
    </row>
    <row r="81" spans="1:9" x14ac:dyDescent="0.25">
      <c r="C81">
        <v>1.031579</v>
      </c>
      <c r="D81">
        <v>1.02807</v>
      </c>
      <c r="E81">
        <v>1.049123</v>
      </c>
    </row>
    <row r="82" spans="1:9" x14ac:dyDescent="0.25">
      <c r="C82">
        <v>1.045614</v>
      </c>
    </row>
    <row r="83" spans="1:9" x14ac:dyDescent="0.25">
      <c r="C83">
        <v>1.001754</v>
      </c>
    </row>
    <row r="84" spans="1:9" x14ac:dyDescent="0.25">
      <c r="C84">
        <v>1.001754</v>
      </c>
    </row>
    <row r="85" spans="1:9" x14ac:dyDescent="0.25">
      <c r="C85">
        <v>0.80701800000000001</v>
      </c>
    </row>
    <row r="86" spans="1:9" x14ac:dyDescent="0.25">
      <c r="C86">
        <v>0.99824599999999997</v>
      </c>
    </row>
    <row r="87" spans="1:9" x14ac:dyDescent="0.25">
      <c r="C87">
        <v>0.94035100000000005</v>
      </c>
    </row>
    <row r="88" spans="1:9" x14ac:dyDescent="0.25">
      <c r="C88">
        <v>0.859649</v>
      </c>
    </row>
    <row r="93" spans="1:9" ht="28.5" x14ac:dyDescent="0.45">
      <c r="A93" s="9" t="s">
        <v>53</v>
      </c>
      <c r="D93" s="2" t="s">
        <v>279</v>
      </c>
    </row>
    <row r="94" spans="1:9" x14ac:dyDescent="0.25">
      <c r="D94" t="s">
        <v>280</v>
      </c>
    </row>
    <row r="96" spans="1:9" x14ac:dyDescent="0.25">
      <c r="C96" t="s">
        <v>234</v>
      </c>
      <c r="D96" t="s">
        <v>120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</row>
    <row r="97" spans="3:12" x14ac:dyDescent="0.25">
      <c r="C97">
        <v>86</v>
      </c>
      <c r="D97">
        <v>0.848333</v>
      </c>
      <c r="E97">
        <v>0.68166700000000002</v>
      </c>
      <c r="F97">
        <v>0</v>
      </c>
      <c r="G97">
        <v>0.97829999999999995</v>
      </c>
      <c r="H97">
        <v>0.98329999999999995</v>
      </c>
      <c r="I97">
        <v>1.67E-3</v>
      </c>
      <c r="L97" t="s">
        <v>129</v>
      </c>
    </row>
    <row r="98" spans="3:12" x14ac:dyDescent="0.25">
      <c r="C98">
        <v>23</v>
      </c>
      <c r="D98">
        <v>0.78333299999999995</v>
      </c>
      <c r="E98">
        <v>0.15</v>
      </c>
      <c r="F98">
        <v>5.0000000000000001E-3</v>
      </c>
      <c r="G98">
        <v>0.85</v>
      </c>
      <c r="H98">
        <v>0.48330000000000001</v>
      </c>
      <c r="I98">
        <v>8.3000000000000001E-3</v>
      </c>
      <c r="L98" t="s">
        <v>130</v>
      </c>
    </row>
    <row r="99" spans="3:12" x14ac:dyDescent="0.25">
      <c r="C99">
        <v>9</v>
      </c>
      <c r="D99">
        <v>0.901667</v>
      </c>
      <c r="E99">
        <v>0.87833300000000003</v>
      </c>
      <c r="F99">
        <v>0.16666700000000001</v>
      </c>
      <c r="G99">
        <v>0.97</v>
      </c>
      <c r="H99">
        <v>0.90333300000000005</v>
      </c>
      <c r="I99">
        <v>0.33333299999999999</v>
      </c>
    </row>
    <row r="100" spans="3:12" x14ac:dyDescent="0.25">
      <c r="C100">
        <v>83</v>
      </c>
      <c r="D100">
        <v>0.73333300000000001</v>
      </c>
      <c r="E100">
        <v>0.81666700000000003</v>
      </c>
      <c r="F100">
        <v>1.6667000000000001E-2</v>
      </c>
      <c r="G100">
        <v>0.93666700000000003</v>
      </c>
      <c r="H100">
        <v>0.95166700000000004</v>
      </c>
      <c r="I100">
        <v>0.02</v>
      </c>
    </row>
    <row r="101" spans="3:12" x14ac:dyDescent="0.25">
      <c r="C101">
        <v>28</v>
      </c>
      <c r="D101">
        <v>0.67</v>
      </c>
      <c r="E101">
        <v>0.83166700000000005</v>
      </c>
      <c r="F101">
        <v>6.6667000000000004E-2</v>
      </c>
      <c r="G101">
        <v>0.968333</v>
      </c>
      <c r="H101">
        <v>0.98499999999999999</v>
      </c>
      <c r="I101">
        <v>9.1666999999999998E-2</v>
      </c>
    </row>
    <row r="102" spans="3:12" x14ac:dyDescent="0.25">
      <c r="C102">
        <v>57</v>
      </c>
      <c r="D102">
        <v>0.56666700000000003</v>
      </c>
      <c r="E102">
        <v>0.93166700000000002</v>
      </c>
      <c r="F102">
        <v>9.3332999999999999E-2</v>
      </c>
      <c r="G102">
        <v>0.73333300000000001</v>
      </c>
      <c r="H102">
        <v>0.94499999999999995</v>
      </c>
      <c r="I102">
        <v>0.06</v>
      </c>
    </row>
    <row r="103" spans="3:12" x14ac:dyDescent="0.25">
      <c r="C103">
        <v>26</v>
      </c>
      <c r="D103">
        <v>0.776667</v>
      </c>
      <c r="E103">
        <v>0.33333299999999999</v>
      </c>
      <c r="F103">
        <v>1.6667000000000001E-2</v>
      </c>
      <c r="G103">
        <v>0.93333299999999997</v>
      </c>
      <c r="H103">
        <v>0.61666699999999997</v>
      </c>
      <c r="I103">
        <v>0.16666700000000001</v>
      </c>
    </row>
    <row r="104" spans="3:12" x14ac:dyDescent="0.25">
      <c r="C104">
        <v>77</v>
      </c>
      <c r="D104">
        <v>0.86666699999999997</v>
      </c>
      <c r="E104">
        <v>0.55833299999999997</v>
      </c>
      <c r="F104">
        <v>0</v>
      </c>
      <c r="G104">
        <v>0.97670000000000001</v>
      </c>
      <c r="H104">
        <v>0.74166699999999997</v>
      </c>
      <c r="I104">
        <v>0</v>
      </c>
    </row>
    <row r="105" spans="3:12" x14ac:dyDescent="0.25">
      <c r="C105">
        <v>57</v>
      </c>
      <c r="D105">
        <v>0.94333299999999998</v>
      </c>
      <c r="E105">
        <v>0.72166699999999995</v>
      </c>
      <c r="F105">
        <v>7.4999999999999997E-2</v>
      </c>
      <c r="G105">
        <v>0.98499999999999999</v>
      </c>
      <c r="H105">
        <v>0.93330000000000002</v>
      </c>
      <c r="I105">
        <v>8.3000000000000001E-3</v>
      </c>
    </row>
    <row r="106" spans="3:12" x14ac:dyDescent="0.25">
      <c r="C106">
        <v>33</v>
      </c>
      <c r="D106">
        <v>0.3</v>
      </c>
      <c r="E106">
        <v>0.66500000000000004</v>
      </c>
      <c r="F106">
        <v>3.3333000000000002E-2</v>
      </c>
      <c r="G106">
        <v>0.95169999999999999</v>
      </c>
      <c r="H106">
        <v>0.88329999999999997</v>
      </c>
      <c r="I106">
        <v>0.1</v>
      </c>
    </row>
    <row r="107" spans="3:12" x14ac:dyDescent="0.25">
      <c r="C107">
        <v>79</v>
      </c>
      <c r="D107">
        <v>0.61833300000000002</v>
      </c>
      <c r="E107">
        <v>0.598333</v>
      </c>
      <c r="F107">
        <v>3.3333000000000002E-2</v>
      </c>
      <c r="G107">
        <v>0.92</v>
      </c>
      <c r="H107">
        <v>6.1999999999999998E-3</v>
      </c>
      <c r="I107">
        <v>0</v>
      </c>
    </row>
    <row r="115" spans="1:10" ht="28.5" x14ac:dyDescent="0.45">
      <c r="A115" s="9" t="s">
        <v>281</v>
      </c>
      <c r="D115" s="2" t="s">
        <v>131</v>
      </c>
    </row>
    <row r="118" spans="1:10" x14ac:dyDescent="0.25">
      <c r="C118" t="s">
        <v>119</v>
      </c>
      <c r="D118" t="s">
        <v>126</v>
      </c>
      <c r="E118" t="s">
        <v>127</v>
      </c>
      <c r="F118" t="s">
        <v>128</v>
      </c>
    </row>
    <row r="119" spans="1:10" x14ac:dyDescent="0.25">
      <c r="C119">
        <v>86</v>
      </c>
      <c r="D119">
        <v>1</v>
      </c>
      <c r="E119">
        <v>0.6</v>
      </c>
      <c r="F119">
        <v>0.5</v>
      </c>
      <c r="J119" t="s">
        <v>129</v>
      </c>
    </row>
    <row r="120" spans="1:10" x14ac:dyDescent="0.25">
      <c r="C120">
        <v>23</v>
      </c>
      <c r="D120">
        <v>0.5</v>
      </c>
      <c r="E120">
        <v>1</v>
      </c>
      <c r="F120">
        <v>0.20833299999999999</v>
      </c>
      <c r="J120" t="s">
        <v>130</v>
      </c>
    </row>
    <row r="121" spans="1:10" x14ac:dyDescent="0.25">
      <c r="C121">
        <v>9</v>
      </c>
      <c r="D121">
        <v>0.98181799999999997</v>
      </c>
      <c r="E121">
        <v>0.16666700000000001</v>
      </c>
      <c r="F121">
        <v>0.1</v>
      </c>
    </row>
    <row r="122" spans="1:10" x14ac:dyDescent="0.25">
      <c r="C122">
        <v>83</v>
      </c>
      <c r="D122">
        <v>0.66666700000000001</v>
      </c>
      <c r="E122">
        <v>0.875</v>
      </c>
      <c r="F122">
        <v>0.375</v>
      </c>
    </row>
    <row r="123" spans="1:10" x14ac:dyDescent="0.25">
      <c r="C123">
        <v>28</v>
      </c>
      <c r="D123">
        <v>0.33333299999999999</v>
      </c>
      <c r="E123">
        <v>0.272727</v>
      </c>
      <c r="F123">
        <v>0.8</v>
      </c>
    </row>
    <row r="124" spans="1:10" x14ac:dyDescent="0.25">
      <c r="C124">
        <v>57</v>
      </c>
      <c r="D124">
        <v>0.6</v>
      </c>
      <c r="E124">
        <v>0.33333299999999999</v>
      </c>
      <c r="F124">
        <v>0.4</v>
      </c>
    </row>
    <row r="125" spans="1:10" x14ac:dyDescent="0.25">
      <c r="C125">
        <v>26</v>
      </c>
      <c r="D125">
        <v>1</v>
      </c>
      <c r="E125">
        <v>0</v>
      </c>
      <c r="F125">
        <v>0.2</v>
      </c>
    </row>
    <row r="126" spans="1:10" x14ac:dyDescent="0.25">
      <c r="C126">
        <v>77</v>
      </c>
      <c r="D126">
        <v>1</v>
      </c>
      <c r="E126">
        <v>0.6</v>
      </c>
      <c r="F126">
        <v>0.375</v>
      </c>
    </row>
    <row r="127" spans="1:10" x14ac:dyDescent="0.25">
      <c r="C127">
        <v>57</v>
      </c>
      <c r="D127">
        <v>1.5</v>
      </c>
      <c r="E127">
        <v>1</v>
      </c>
      <c r="F127">
        <v>0.62857099999999999</v>
      </c>
    </row>
    <row r="128" spans="1:10" x14ac:dyDescent="0.25">
      <c r="C128">
        <v>33</v>
      </c>
      <c r="D128">
        <v>0.83333299999999999</v>
      </c>
      <c r="E128">
        <v>0.3</v>
      </c>
      <c r="F128">
        <v>0.15384600000000001</v>
      </c>
    </row>
    <row r="129" spans="1:6" x14ac:dyDescent="0.25">
      <c r="C129">
        <v>79</v>
      </c>
      <c r="D129">
        <v>1.3333330000000001</v>
      </c>
      <c r="E129">
        <v>0.5</v>
      </c>
      <c r="F129">
        <v>0.38</v>
      </c>
    </row>
    <row r="140" spans="1:6" ht="28.5" x14ac:dyDescent="0.45">
      <c r="A140" s="9" t="s">
        <v>54</v>
      </c>
      <c r="D140" s="2" t="s">
        <v>282</v>
      </c>
    </row>
    <row r="143" spans="1:6" x14ac:dyDescent="0.25">
      <c r="B143" t="s">
        <v>55</v>
      </c>
      <c r="D143" t="s">
        <v>56</v>
      </c>
      <c r="F143" t="s">
        <v>52</v>
      </c>
    </row>
    <row r="144" spans="1:6" x14ac:dyDescent="0.25">
      <c r="B144">
        <v>2.5000000000000001E-2</v>
      </c>
      <c r="D144">
        <v>0.94666700000000004</v>
      </c>
      <c r="F144">
        <v>0.99649100000000002</v>
      </c>
    </row>
    <row r="145" spans="2:6" x14ac:dyDescent="0.25">
      <c r="B145">
        <v>0.16666700000000001</v>
      </c>
      <c r="D145">
        <v>0.92333299999999996</v>
      </c>
      <c r="F145">
        <v>0.97192999999999996</v>
      </c>
    </row>
    <row r="146" spans="2:6" x14ac:dyDescent="0.25">
      <c r="B146">
        <v>0.9</v>
      </c>
      <c r="D146">
        <v>0.98166699999999996</v>
      </c>
      <c r="F146">
        <v>1.0333330000000001</v>
      </c>
    </row>
    <row r="147" spans="2:6" x14ac:dyDescent="0.25">
      <c r="B147">
        <v>0.38333299999999998</v>
      </c>
      <c r="D147">
        <v>0.86666699999999997</v>
      </c>
      <c r="F147">
        <v>0.91228100000000001</v>
      </c>
    </row>
    <row r="148" spans="2:6" x14ac:dyDescent="0.25">
      <c r="B148">
        <v>0.99666699999999997</v>
      </c>
      <c r="D148">
        <v>0.99666699999999997</v>
      </c>
      <c r="F148">
        <v>1.049123</v>
      </c>
    </row>
    <row r="149" spans="2:6" x14ac:dyDescent="0.25">
      <c r="B149">
        <v>0.973333</v>
      </c>
      <c r="D149">
        <v>0.98833300000000002</v>
      </c>
      <c r="F149">
        <v>1.040351</v>
      </c>
    </row>
    <row r="150" spans="2:6" x14ac:dyDescent="0.25">
      <c r="B150">
        <v>0.55000000000000004</v>
      </c>
      <c r="D150">
        <v>0.94166700000000003</v>
      </c>
      <c r="F150">
        <v>0.991228</v>
      </c>
    </row>
    <row r="151" spans="2:6" x14ac:dyDescent="0.25">
      <c r="B151">
        <v>0.75</v>
      </c>
      <c r="D151">
        <v>0.98499999999999999</v>
      </c>
      <c r="F151">
        <v>1.036842</v>
      </c>
    </row>
    <row r="152" spans="2:6" x14ac:dyDescent="0.25">
      <c r="B152">
        <v>0.97666699999999995</v>
      </c>
      <c r="D152">
        <v>0.98</v>
      </c>
      <c r="F152">
        <v>1.031579</v>
      </c>
    </row>
    <row r="153" spans="2:6" x14ac:dyDescent="0.25">
      <c r="B153">
        <v>0.97833300000000001</v>
      </c>
      <c r="D153">
        <v>0.99333300000000002</v>
      </c>
      <c r="F153">
        <v>1.045614</v>
      </c>
    </row>
    <row r="154" spans="2:6" x14ac:dyDescent="0.25">
      <c r="B154">
        <v>0.216667</v>
      </c>
      <c r="D154">
        <v>0.76666699999999999</v>
      </c>
      <c r="F154">
        <v>0.80701800000000001</v>
      </c>
    </row>
    <row r="155" spans="2:6" x14ac:dyDescent="0.25">
      <c r="B155">
        <v>0.31666699999999998</v>
      </c>
      <c r="D155">
        <v>0.81666700000000003</v>
      </c>
      <c r="F155">
        <v>0.859649</v>
      </c>
    </row>
    <row r="156" spans="2:6" x14ac:dyDescent="0.25">
      <c r="B156">
        <v>0.98</v>
      </c>
      <c r="D156">
        <v>0.98</v>
      </c>
      <c r="F156">
        <v>1.031579</v>
      </c>
    </row>
    <row r="157" spans="2:6" x14ac:dyDescent="0.25">
      <c r="B157">
        <v>0.87333300000000003</v>
      </c>
      <c r="D157">
        <v>0.95666700000000005</v>
      </c>
      <c r="F157">
        <v>1.007018</v>
      </c>
    </row>
    <row r="158" spans="2:6" x14ac:dyDescent="0.25">
      <c r="B158">
        <v>0.85</v>
      </c>
      <c r="D158">
        <v>0.99</v>
      </c>
      <c r="F158">
        <v>1.0421050000000001</v>
      </c>
    </row>
    <row r="159" spans="2:6" x14ac:dyDescent="0.25">
      <c r="B159">
        <v>0.88666699999999998</v>
      </c>
      <c r="D159">
        <v>0.97833300000000001</v>
      </c>
      <c r="F159">
        <v>1.029825</v>
      </c>
    </row>
    <row r="160" spans="2:6" x14ac:dyDescent="0.25">
      <c r="B160">
        <v>5.8333000000000003E-2</v>
      </c>
      <c r="D160">
        <v>0.41666700000000001</v>
      </c>
      <c r="F160">
        <v>0.43859599999999999</v>
      </c>
    </row>
    <row r="161" spans="2:6" x14ac:dyDescent="0.25">
      <c r="B161">
        <v>0</v>
      </c>
      <c r="D161">
        <v>6.1667E-2</v>
      </c>
      <c r="F161">
        <v>6.4911999999999997E-2</v>
      </c>
    </row>
    <row r="162" spans="2:6" x14ac:dyDescent="0.25">
      <c r="B162">
        <v>0.7</v>
      </c>
      <c r="D162">
        <v>0.23333300000000001</v>
      </c>
      <c r="F162">
        <v>0.245614</v>
      </c>
    </row>
    <row r="163" spans="2:6" x14ac:dyDescent="0.25">
      <c r="B163">
        <v>0.05</v>
      </c>
      <c r="D163">
        <v>0.78333299999999995</v>
      </c>
      <c r="F163">
        <v>0.82456099999999999</v>
      </c>
    </row>
    <row r="164" spans="2:6" x14ac:dyDescent="0.25">
      <c r="B164">
        <v>0.3</v>
      </c>
      <c r="D164">
        <v>0.95166700000000004</v>
      </c>
      <c r="F164">
        <v>1.001754</v>
      </c>
    </row>
    <row r="165" spans="2:6" x14ac:dyDescent="0.25">
      <c r="B165">
        <v>0.97833300000000001</v>
      </c>
      <c r="D165">
        <v>0.95166700000000004</v>
      </c>
      <c r="F165">
        <v>1.001754</v>
      </c>
    </row>
    <row r="166" spans="2:6" x14ac:dyDescent="0.25">
      <c r="B166">
        <v>0.466667</v>
      </c>
      <c r="D166">
        <v>0.94833299999999998</v>
      </c>
      <c r="F166">
        <v>0.99824599999999997</v>
      </c>
    </row>
    <row r="167" spans="2:6" x14ac:dyDescent="0.25">
      <c r="B167">
        <v>0.61666699999999997</v>
      </c>
      <c r="D167">
        <v>0.89333300000000004</v>
      </c>
      <c r="F167">
        <v>0.94035100000000005</v>
      </c>
    </row>
    <row r="168" spans="2:6" x14ac:dyDescent="0.25">
      <c r="B168">
        <v>0.87333300000000003</v>
      </c>
      <c r="D168">
        <v>0.73499999999999999</v>
      </c>
      <c r="F168">
        <v>0.77368400000000004</v>
      </c>
    </row>
    <row r="169" spans="2:6" x14ac:dyDescent="0.25">
      <c r="B169">
        <v>0.73499999999999999</v>
      </c>
      <c r="D169">
        <v>0.43333300000000002</v>
      </c>
      <c r="F169">
        <v>0.45613999999999999</v>
      </c>
    </row>
    <row r="170" spans="2:6" x14ac:dyDescent="0.25">
      <c r="B170">
        <v>0.94333299999999998</v>
      </c>
      <c r="D170">
        <v>0.98499999999999999</v>
      </c>
      <c r="F170">
        <v>1.036842</v>
      </c>
    </row>
    <row r="171" spans="2:6" x14ac:dyDescent="0.25">
      <c r="B171">
        <v>0.98499999999999999</v>
      </c>
      <c r="D171">
        <v>0.96333299999999999</v>
      </c>
      <c r="F171">
        <v>1.014035</v>
      </c>
    </row>
    <row r="172" spans="2:6" x14ac:dyDescent="0.25">
      <c r="B172">
        <v>0.96666700000000005</v>
      </c>
      <c r="D172">
        <v>0.97666699999999995</v>
      </c>
      <c r="F172">
        <v>1.02807</v>
      </c>
    </row>
    <row r="173" spans="2:6" x14ac:dyDescent="0.25">
      <c r="B173">
        <v>0.598333</v>
      </c>
      <c r="D173">
        <v>0.61666699999999997</v>
      </c>
      <c r="F173">
        <v>0.64912300000000001</v>
      </c>
    </row>
    <row r="174" spans="2:6" x14ac:dyDescent="0.25">
      <c r="B174">
        <v>0.97499999999999998</v>
      </c>
      <c r="D174">
        <v>0.93333299999999997</v>
      </c>
      <c r="F174">
        <v>0.982456</v>
      </c>
    </row>
    <row r="175" spans="2:6" x14ac:dyDescent="0.25">
      <c r="B175">
        <v>0.526667</v>
      </c>
      <c r="D175">
        <v>0.97666699999999995</v>
      </c>
      <c r="F175">
        <v>1.02807</v>
      </c>
    </row>
    <row r="176" spans="2:6" x14ac:dyDescent="0.25">
      <c r="B176">
        <v>0.97833300000000001</v>
      </c>
      <c r="D176">
        <v>0.98166699999999996</v>
      </c>
      <c r="F176">
        <v>1.0333330000000001</v>
      </c>
    </row>
    <row r="177" spans="2:6" x14ac:dyDescent="0.25">
      <c r="B177">
        <v>0.97499999999999998</v>
      </c>
      <c r="D177">
        <v>0.97166699999999995</v>
      </c>
      <c r="F177">
        <v>1.022807</v>
      </c>
    </row>
    <row r="178" spans="2:6" x14ac:dyDescent="0.25">
      <c r="B178">
        <v>0.183333</v>
      </c>
      <c r="D178">
        <v>0.95</v>
      </c>
      <c r="F178">
        <v>1</v>
      </c>
    </row>
    <row r="179" spans="2:6" x14ac:dyDescent="0.25">
      <c r="B179">
        <v>0.15</v>
      </c>
      <c r="D179">
        <v>0.48333300000000001</v>
      </c>
      <c r="F179">
        <v>0.508772</v>
      </c>
    </row>
    <row r="180" spans="2:6" x14ac:dyDescent="0.25">
      <c r="B180">
        <v>0.98333300000000001</v>
      </c>
      <c r="D180">
        <v>0.99333300000000002</v>
      </c>
      <c r="F180">
        <v>1.045614</v>
      </c>
    </row>
    <row r="181" spans="2:6" x14ac:dyDescent="0.25">
      <c r="B181">
        <v>0.94333299999999998</v>
      </c>
      <c r="D181">
        <v>0.96333299999999999</v>
      </c>
      <c r="F181">
        <v>1.014035</v>
      </c>
    </row>
    <row r="182" spans="2:6" x14ac:dyDescent="0.25">
      <c r="B182">
        <v>5.8333000000000003E-2</v>
      </c>
      <c r="D182">
        <v>6.6667000000000004E-2</v>
      </c>
      <c r="F182">
        <v>7.0175000000000001E-2</v>
      </c>
    </row>
    <row r="183" spans="2:6" x14ac:dyDescent="0.25">
      <c r="B183">
        <v>3.3333000000000002E-2</v>
      </c>
      <c r="D183">
        <v>0.88333300000000003</v>
      </c>
      <c r="F183">
        <v>0.92982500000000001</v>
      </c>
    </row>
    <row r="184" spans="2:6" x14ac:dyDescent="0.25">
      <c r="B184">
        <v>0.93666700000000003</v>
      </c>
      <c r="D184">
        <v>0.98166699999999996</v>
      </c>
      <c r="F184">
        <v>1.0333330000000001</v>
      </c>
    </row>
    <row r="185" spans="2:6" x14ac:dyDescent="0.25">
      <c r="B185">
        <v>0.58333299999999999</v>
      </c>
      <c r="D185">
        <v>0.973333</v>
      </c>
      <c r="F185">
        <v>1.0245610000000001</v>
      </c>
    </row>
    <row r="186" spans="2:6" x14ac:dyDescent="0.25">
      <c r="B186">
        <v>0.72166699999999995</v>
      </c>
      <c r="D186">
        <v>0.93333299999999997</v>
      </c>
      <c r="F186">
        <v>0.982456</v>
      </c>
    </row>
    <row r="187" spans="2:6" x14ac:dyDescent="0.25">
      <c r="B187">
        <v>9.1666999999999998E-2</v>
      </c>
      <c r="D187">
        <v>4.1667000000000003E-2</v>
      </c>
      <c r="F187">
        <v>4.3860000000000003E-2</v>
      </c>
    </row>
    <row r="188" spans="2:6" x14ac:dyDescent="0.25">
      <c r="B188">
        <v>5.8333000000000003E-2</v>
      </c>
      <c r="D188">
        <v>4.1667000000000003E-2</v>
      </c>
      <c r="F188">
        <v>4.3860000000000003E-2</v>
      </c>
    </row>
    <row r="189" spans="2:6" x14ac:dyDescent="0.25">
      <c r="B189">
        <v>0.78333299999999995</v>
      </c>
      <c r="D189">
        <v>0.97666699999999995</v>
      </c>
      <c r="F189">
        <v>1.02807</v>
      </c>
    </row>
    <row r="190" spans="2:6" x14ac:dyDescent="0.25">
      <c r="B190">
        <v>0.216667</v>
      </c>
      <c r="D190">
        <v>0.53333299999999995</v>
      </c>
      <c r="F190">
        <v>0.56140400000000001</v>
      </c>
    </row>
    <row r="191" spans="2:6" x14ac:dyDescent="0.25">
      <c r="B191">
        <v>0.89333300000000004</v>
      </c>
      <c r="D191">
        <v>0.99666699999999997</v>
      </c>
      <c r="F191">
        <v>1.049123</v>
      </c>
    </row>
    <row r="192" spans="2:6" x14ac:dyDescent="0.25">
      <c r="B192">
        <v>0.216667</v>
      </c>
      <c r="D192">
        <v>0.53333299999999995</v>
      </c>
      <c r="F192">
        <v>0.56140400000000001</v>
      </c>
    </row>
    <row r="193" spans="2:6" x14ac:dyDescent="0.25">
      <c r="B193">
        <v>0.89333300000000004</v>
      </c>
      <c r="D193">
        <v>0.99666699999999997</v>
      </c>
      <c r="F193">
        <v>1.049123</v>
      </c>
    </row>
    <row r="194" spans="2:6" x14ac:dyDescent="0.25">
      <c r="B194">
        <v>0.95833299999999999</v>
      </c>
      <c r="D194">
        <v>0.95333299999999999</v>
      </c>
      <c r="F194">
        <v>1.003509</v>
      </c>
    </row>
    <row r="195" spans="2:6" x14ac:dyDescent="0.25">
      <c r="B195">
        <v>5.0000000000000001E-3</v>
      </c>
      <c r="D195">
        <v>8.3330000000000001E-3</v>
      </c>
      <c r="F195">
        <v>8.7720000000000003E-3</v>
      </c>
    </row>
    <row r="196" spans="2:6" x14ac:dyDescent="0.25">
      <c r="B196">
        <v>0.81166700000000003</v>
      </c>
      <c r="D196">
        <v>0.8</v>
      </c>
      <c r="F196">
        <v>0.84210499999999999</v>
      </c>
    </row>
    <row r="197" spans="2:6" x14ac:dyDescent="0.25">
      <c r="B197">
        <v>7.4999999999999997E-2</v>
      </c>
      <c r="D197">
        <v>8.3330000000000001E-3</v>
      </c>
      <c r="F197">
        <v>8.7720000000000003E-3</v>
      </c>
    </row>
    <row r="198" spans="2:6" x14ac:dyDescent="0.25">
      <c r="B198">
        <v>0.60333300000000001</v>
      </c>
      <c r="D198">
        <v>0.98333300000000001</v>
      </c>
      <c r="F198">
        <v>1.035088</v>
      </c>
    </row>
    <row r="199" spans="2:6" x14ac:dyDescent="0.25">
      <c r="B199">
        <v>0.901667</v>
      </c>
      <c r="D199">
        <v>0.97</v>
      </c>
      <c r="F199">
        <v>1.021053</v>
      </c>
    </row>
    <row r="200" spans="2:6" x14ac:dyDescent="0.25">
      <c r="B200">
        <v>0.776667</v>
      </c>
      <c r="D200">
        <v>0.93333299999999997</v>
      </c>
      <c r="F200">
        <v>0.982456</v>
      </c>
    </row>
    <row r="201" spans="2:6" x14ac:dyDescent="0.25">
      <c r="B201">
        <v>0.82666700000000004</v>
      </c>
      <c r="D201">
        <v>0.93166700000000002</v>
      </c>
      <c r="F201">
        <v>0.98070199999999996</v>
      </c>
    </row>
    <row r="202" spans="2:6" x14ac:dyDescent="0.25">
      <c r="B202">
        <v>0.56666700000000003</v>
      </c>
      <c r="D202">
        <v>0.43333300000000002</v>
      </c>
      <c r="F202">
        <v>0.45613999999999999</v>
      </c>
    </row>
    <row r="203" spans="2:6" x14ac:dyDescent="0.25">
      <c r="B203">
        <v>0</v>
      </c>
      <c r="D203">
        <v>8.3330000000000001E-3</v>
      </c>
      <c r="F203">
        <v>8.7720000000000003E-3</v>
      </c>
    </row>
    <row r="204" spans="2:6" x14ac:dyDescent="0.25">
      <c r="B204">
        <v>0.73333300000000001</v>
      </c>
      <c r="D204">
        <v>0.93666700000000003</v>
      </c>
      <c r="F204">
        <v>0.98596499999999998</v>
      </c>
    </row>
    <row r="205" spans="2:6" x14ac:dyDescent="0.25">
      <c r="B205">
        <v>0.81333299999999997</v>
      </c>
      <c r="D205">
        <v>0.91833299999999995</v>
      </c>
      <c r="F205">
        <v>0.96666700000000005</v>
      </c>
    </row>
    <row r="206" spans="2:6" x14ac:dyDescent="0.25">
      <c r="B206">
        <v>0.87833300000000003</v>
      </c>
      <c r="D206">
        <v>0.90333300000000005</v>
      </c>
      <c r="F206">
        <v>0.95087699999999997</v>
      </c>
    </row>
    <row r="207" spans="2:6" x14ac:dyDescent="0.25">
      <c r="B207">
        <v>0</v>
      </c>
      <c r="D207">
        <v>2.5000000000000001E-2</v>
      </c>
      <c r="F207">
        <v>2.6315999999999999E-2</v>
      </c>
    </row>
    <row r="208" spans="2:6" x14ac:dyDescent="0.25">
      <c r="B208">
        <v>0.97</v>
      </c>
      <c r="D208">
        <v>0.968333</v>
      </c>
      <c r="F208">
        <v>1.019298</v>
      </c>
    </row>
    <row r="209" spans="2:6" x14ac:dyDescent="0.25">
      <c r="B209">
        <v>0.57833299999999999</v>
      </c>
      <c r="D209">
        <v>0.83333299999999999</v>
      </c>
      <c r="F209">
        <v>0.877193</v>
      </c>
    </row>
    <row r="210" spans="2:6" x14ac:dyDescent="0.25">
      <c r="B210">
        <v>0.95333299999999999</v>
      </c>
      <c r="D210">
        <v>0.98833300000000002</v>
      </c>
      <c r="F210">
        <v>1.040351</v>
      </c>
    </row>
    <row r="211" spans="2:6" x14ac:dyDescent="0.25">
      <c r="B211">
        <v>0.26666699999999999</v>
      </c>
      <c r="D211">
        <v>0.33333299999999999</v>
      </c>
      <c r="F211">
        <v>0.35087699999999999</v>
      </c>
    </row>
    <row r="212" spans="2:6" x14ac:dyDescent="0.25">
      <c r="B212">
        <v>1.6667000000000001E-2</v>
      </c>
      <c r="D212">
        <v>6.6667000000000004E-2</v>
      </c>
      <c r="F212">
        <v>7.0175000000000001E-2</v>
      </c>
    </row>
    <row r="213" spans="2:6" x14ac:dyDescent="0.25">
      <c r="B213">
        <v>0.93166700000000002</v>
      </c>
      <c r="D213">
        <v>0.98499999999999999</v>
      </c>
      <c r="F213">
        <v>1.036842</v>
      </c>
    </row>
    <row r="214" spans="2:6" x14ac:dyDescent="0.25">
      <c r="B214">
        <v>0.69333299999999998</v>
      </c>
      <c r="D214">
        <v>0.6</v>
      </c>
      <c r="F214">
        <v>0.631579</v>
      </c>
    </row>
    <row r="215" spans="2:6" x14ac:dyDescent="0.25">
      <c r="B215">
        <v>0.81666700000000003</v>
      </c>
      <c r="D215">
        <v>0.95166700000000004</v>
      </c>
      <c r="F215">
        <v>1.001754</v>
      </c>
    </row>
    <row r="216" spans="2:6" x14ac:dyDescent="0.25">
      <c r="B216">
        <v>0.94833299999999998</v>
      </c>
      <c r="D216">
        <v>0.97833300000000001</v>
      </c>
      <c r="F216">
        <v>1.029825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08"/>
  <sheetViews>
    <sheetView topLeftCell="A208" workbookViewId="0">
      <selection activeCell="E71" sqref="E71"/>
    </sheetView>
  </sheetViews>
  <sheetFormatPr baseColWidth="10" defaultColWidth="9.140625" defaultRowHeight="15" x14ac:dyDescent="0.25"/>
  <cols>
    <col min="4" max="4" width="15.85546875" customWidth="1"/>
    <col min="5" max="5" width="15.28515625" customWidth="1"/>
    <col min="7" max="7" width="15.85546875" customWidth="1"/>
    <col min="10" max="10" width="20.7109375" customWidth="1"/>
  </cols>
  <sheetData>
    <row r="1" spans="1:32" ht="28.5" x14ac:dyDescent="0.45">
      <c r="A1" s="30" t="s">
        <v>259</v>
      </c>
    </row>
    <row r="2" spans="1:32" ht="28.5" x14ac:dyDescent="0.45">
      <c r="A2" s="30"/>
    </row>
    <row r="3" spans="1:32" ht="15.75" customHeight="1" x14ac:dyDescent="0.25">
      <c r="A3" s="41" t="s">
        <v>269</v>
      </c>
    </row>
    <row r="4" spans="1:32" ht="15.75" x14ac:dyDescent="0.25">
      <c r="A4" s="41" t="s">
        <v>283</v>
      </c>
    </row>
    <row r="5" spans="1:32" ht="15.75" x14ac:dyDescent="0.25">
      <c r="A5" s="41"/>
    </row>
    <row r="6" spans="1:32" ht="26.25" x14ac:dyDescent="0.4">
      <c r="A6" s="26"/>
      <c r="B6" s="26"/>
      <c r="C6" s="26"/>
      <c r="D6" s="39" t="s">
        <v>260</v>
      </c>
      <c r="E6" s="39"/>
      <c r="F6" s="39"/>
      <c r="G6" s="39"/>
      <c r="H6" s="39"/>
      <c r="I6" s="26"/>
      <c r="J6" s="26"/>
      <c r="K6" s="26"/>
      <c r="L6" s="39" t="s">
        <v>261</v>
      </c>
      <c r="M6" s="39"/>
      <c r="N6" s="39"/>
      <c r="O6" s="39"/>
      <c r="P6" s="39"/>
      <c r="Q6" s="26"/>
      <c r="R6" s="26"/>
      <c r="S6" s="26"/>
      <c r="T6" s="39" t="s">
        <v>262</v>
      </c>
      <c r="U6" s="39"/>
      <c r="V6" s="39"/>
      <c r="W6" s="39"/>
      <c r="X6" s="39"/>
      <c r="Y6" s="26"/>
      <c r="Z6" s="26"/>
      <c r="AA6" s="26"/>
      <c r="AB6" s="39" t="s">
        <v>263</v>
      </c>
      <c r="AC6" s="39"/>
      <c r="AD6" s="39"/>
      <c r="AE6" s="39"/>
      <c r="AF6" s="39"/>
    </row>
    <row r="7" spans="1:32" ht="21" x14ac:dyDescent="0.35">
      <c r="E7" s="35" t="s">
        <v>257</v>
      </c>
      <c r="F7" s="35"/>
      <c r="G7" s="35"/>
      <c r="H7" s="35"/>
      <c r="M7" s="35" t="s">
        <v>257</v>
      </c>
      <c r="N7" s="35"/>
      <c r="O7" s="35"/>
      <c r="P7" s="35"/>
      <c r="U7" s="35" t="s">
        <v>257</v>
      </c>
      <c r="V7" s="35"/>
      <c r="W7" s="35"/>
      <c r="X7" s="35"/>
      <c r="AB7" s="35" t="s">
        <v>257</v>
      </c>
      <c r="AC7" s="35"/>
      <c r="AD7" s="35"/>
      <c r="AE7" s="35"/>
      <c r="AF7" s="35"/>
    </row>
    <row r="8" spans="1:32" ht="21" x14ac:dyDescent="0.35">
      <c r="A8" s="2"/>
      <c r="B8" s="2"/>
      <c r="C8" s="2" t="s">
        <v>256</v>
      </c>
      <c r="D8" s="2"/>
      <c r="E8" s="2">
        <v>4</v>
      </c>
      <c r="F8" s="2">
        <v>6</v>
      </c>
      <c r="G8" s="2">
        <v>8</v>
      </c>
      <c r="H8" s="2">
        <v>10</v>
      </c>
      <c r="I8" s="2"/>
      <c r="J8" s="2"/>
      <c r="K8" s="2"/>
      <c r="L8" s="2" t="s">
        <v>256</v>
      </c>
      <c r="M8" s="2">
        <v>4</v>
      </c>
      <c r="N8" s="2">
        <v>6</v>
      </c>
      <c r="O8" s="2">
        <v>8</v>
      </c>
      <c r="P8" s="2">
        <v>10</v>
      </c>
      <c r="Q8" s="2"/>
      <c r="R8" s="2"/>
      <c r="S8" s="2"/>
      <c r="T8" s="2" t="s">
        <v>256</v>
      </c>
      <c r="U8" s="2">
        <v>4</v>
      </c>
      <c r="V8" s="2">
        <v>6</v>
      </c>
      <c r="W8" s="2">
        <v>8</v>
      </c>
      <c r="X8" s="2">
        <v>10</v>
      </c>
      <c r="Y8" s="2"/>
      <c r="Z8" s="2"/>
      <c r="AA8" s="2"/>
      <c r="AB8" s="2" t="s">
        <v>256</v>
      </c>
      <c r="AC8" s="2">
        <v>4</v>
      </c>
      <c r="AD8" s="2">
        <v>6</v>
      </c>
      <c r="AE8" s="2">
        <v>8</v>
      </c>
      <c r="AF8" s="2">
        <v>10</v>
      </c>
    </row>
    <row r="9" spans="1:32" x14ac:dyDescent="0.25">
      <c r="C9">
        <v>1</v>
      </c>
      <c r="E9">
        <v>15</v>
      </c>
      <c r="F9">
        <v>40</v>
      </c>
      <c r="G9">
        <v>107</v>
      </c>
      <c r="L9">
        <v>1</v>
      </c>
      <c r="M9">
        <v>17</v>
      </c>
      <c r="N9">
        <v>45</v>
      </c>
      <c r="T9">
        <v>1</v>
      </c>
      <c r="U9">
        <v>24</v>
      </c>
      <c r="V9">
        <v>56</v>
      </c>
      <c r="W9">
        <v>159</v>
      </c>
      <c r="AB9">
        <v>1</v>
      </c>
      <c r="AC9">
        <v>37</v>
      </c>
      <c r="AD9">
        <v>64</v>
      </c>
      <c r="AE9">
        <v>478</v>
      </c>
    </row>
    <row r="10" spans="1:32" x14ac:dyDescent="0.25">
      <c r="C10">
        <v>3</v>
      </c>
      <c r="E10">
        <v>35</v>
      </c>
      <c r="F10">
        <v>22</v>
      </c>
      <c r="G10">
        <v>20</v>
      </c>
      <c r="H10">
        <v>40</v>
      </c>
      <c r="L10">
        <v>3</v>
      </c>
      <c r="M10">
        <v>40</v>
      </c>
      <c r="N10">
        <v>155</v>
      </c>
      <c r="O10">
        <v>38</v>
      </c>
      <c r="T10">
        <v>3</v>
      </c>
      <c r="U10">
        <v>58</v>
      </c>
      <c r="V10">
        <v>235</v>
      </c>
      <c r="W10">
        <v>166</v>
      </c>
      <c r="AB10">
        <v>3</v>
      </c>
      <c r="AC10">
        <v>42</v>
      </c>
      <c r="AD10">
        <v>302</v>
      </c>
      <c r="AE10">
        <v>166</v>
      </c>
    </row>
    <row r="11" spans="1:32" x14ac:dyDescent="0.25">
      <c r="C11">
        <v>4</v>
      </c>
      <c r="E11">
        <v>16</v>
      </c>
      <c r="F11" s="10" t="s">
        <v>181</v>
      </c>
      <c r="L11">
        <v>4</v>
      </c>
      <c r="M11">
        <v>18</v>
      </c>
      <c r="T11">
        <v>4</v>
      </c>
      <c r="U11">
        <v>21</v>
      </c>
      <c r="AB11">
        <v>4</v>
      </c>
      <c r="AC11">
        <v>22</v>
      </c>
    </row>
    <row r="12" spans="1:32" x14ac:dyDescent="0.25">
      <c r="C12">
        <v>5</v>
      </c>
      <c r="E12">
        <v>11</v>
      </c>
      <c r="F12">
        <v>12</v>
      </c>
      <c r="G12">
        <v>27</v>
      </c>
      <c r="H12">
        <v>90</v>
      </c>
      <c r="L12">
        <v>5</v>
      </c>
      <c r="M12">
        <v>13</v>
      </c>
      <c r="N12">
        <v>16</v>
      </c>
      <c r="O12">
        <v>159</v>
      </c>
      <c r="T12">
        <v>5</v>
      </c>
      <c r="U12">
        <v>24</v>
      </c>
      <c r="V12">
        <v>83</v>
      </c>
      <c r="AB12">
        <v>5</v>
      </c>
      <c r="AC12">
        <v>15</v>
      </c>
      <c r="AD12">
        <v>189</v>
      </c>
    </row>
    <row r="13" spans="1:32" x14ac:dyDescent="0.25">
      <c r="C13">
        <v>8</v>
      </c>
      <c r="E13">
        <v>9</v>
      </c>
      <c r="F13">
        <v>22</v>
      </c>
      <c r="G13">
        <v>31</v>
      </c>
      <c r="H13">
        <v>56</v>
      </c>
      <c r="L13">
        <v>8</v>
      </c>
      <c r="M13">
        <v>10</v>
      </c>
      <c r="N13">
        <v>73</v>
      </c>
      <c r="O13">
        <v>135</v>
      </c>
      <c r="P13">
        <v>115</v>
      </c>
      <c r="T13">
        <v>8</v>
      </c>
      <c r="U13">
        <v>34</v>
      </c>
      <c r="V13">
        <v>260</v>
      </c>
      <c r="W13">
        <v>460</v>
      </c>
      <c r="X13">
        <v>498</v>
      </c>
      <c r="AB13">
        <v>8</v>
      </c>
      <c r="AC13">
        <v>34</v>
      </c>
      <c r="AD13">
        <v>541</v>
      </c>
      <c r="AE13">
        <v>461</v>
      </c>
    </row>
    <row r="14" spans="1:32" x14ac:dyDescent="0.25">
      <c r="C14">
        <v>9</v>
      </c>
      <c r="E14">
        <v>15</v>
      </c>
      <c r="F14">
        <v>1</v>
      </c>
      <c r="G14">
        <v>9</v>
      </c>
      <c r="H14">
        <v>3</v>
      </c>
      <c r="L14">
        <v>9</v>
      </c>
      <c r="M14">
        <v>36</v>
      </c>
      <c r="N14">
        <v>2</v>
      </c>
      <c r="O14">
        <v>10</v>
      </c>
      <c r="P14">
        <v>4</v>
      </c>
      <c r="T14">
        <v>9</v>
      </c>
      <c r="U14">
        <v>30</v>
      </c>
      <c r="V14">
        <v>40</v>
      </c>
      <c r="W14">
        <v>23</v>
      </c>
      <c r="AB14">
        <v>9</v>
      </c>
      <c r="AC14">
        <v>31</v>
      </c>
      <c r="AD14">
        <v>42</v>
      </c>
      <c r="AE14">
        <v>35</v>
      </c>
      <c r="AF14">
        <v>136</v>
      </c>
    </row>
    <row r="15" spans="1:32" x14ac:dyDescent="0.25">
      <c r="C15">
        <v>12</v>
      </c>
      <c r="E15">
        <v>16</v>
      </c>
      <c r="F15">
        <v>15</v>
      </c>
      <c r="G15">
        <v>52</v>
      </c>
      <c r="H15" s="10" t="s">
        <v>181</v>
      </c>
      <c r="L15">
        <v>12</v>
      </c>
      <c r="M15">
        <v>20</v>
      </c>
      <c r="N15">
        <v>16</v>
      </c>
      <c r="O15">
        <v>57</v>
      </c>
      <c r="T15">
        <v>12</v>
      </c>
      <c r="U15">
        <v>21</v>
      </c>
      <c r="V15">
        <v>110</v>
      </c>
      <c r="AB15">
        <v>12</v>
      </c>
      <c r="AC15">
        <v>21</v>
      </c>
      <c r="AD15">
        <v>142</v>
      </c>
      <c r="AE15">
        <v>203</v>
      </c>
    </row>
    <row r="16" spans="1:32" x14ac:dyDescent="0.25">
      <c r="C16">
        <v>13</v>
      </c>
      <c r="E16">
        <v>12</v>
      </c>
      <c r="F16">
        <v>15</v>
      </c>
      <c r="G16">
        <v>27</v>
      </c>
      <c r="H16" s="10" t="s">
        <v>181</v>
      </c>
      <c r="L16">
        <v>13</v>
      </c>
      <c r="M16">
        <v>16</v>
      </c>
      <c r="N16">
        <v>17</v>
      </c>
      <c r="O16">
        <v>29</v>
      </c>
      <c r="T16">
        <v>13</v>
      </c>
      <c r="U16">
        <v>20</v>
      </c>
      <c r="V16">
        <v>36</v>
      </c>
      <c r="W16">
        <v>32</v>
      </c>
      <c r="AB16">
        <v>13</v>
      </c>
      <c r="AC16">
        <v>24</v>
      </c>
      <c r="AD16">
        <v>54</v>
      </c>
      <c r="AE16">
        <v>51</v>
      </c>
    </row>
    <row r="17" spans="3:32" x14ac:dyDescent="0.25">
      <c r="C17">
        <v>14</v>
      </c>
      <c r="E17">
        <v>10</v>
      </c>
      <c r="F17">
        <v>34</v>
      </c>
      <c r="G17">
        <v>12</v>
      </c>
      <c r="H17">
        <v>42</v>
      </c>
      <c r="L17">
        <v>14</v>
      </c>
      <c r="M17">
        <v>12</v>
      </c>
      <c r="N17">
        <v>37</v>
      </c>
      <c r="O17">
        <v>31</v>
      </c>
      <c r="T17">
        <v>14</v>
      </c>
      <c r="U17">
        <v>19</v>
      </c>
      <c r="V17">
        <v>106</v>
      </c>
      <c r="AB17">
        <v>14</v>
      </c>
      <c r="AC17">
        <v>36</v>
      </c>
      <c r="AD17">
        <v>138</v>
      </c>
      <c r="AE17">
        <v>418</v>
      </c>
    </row>
    <row r="18" spans="3:32" x14ac:dyDescent="0.25">
      <c r="C18">
        <v>15</v>
      </c>
      <c r="E18">
        <v>9</v>
      </c>
      <c r="F18">
        <v>5</v>
      </c>
      <c r="G18">
        <v>85</v>
      </c>
      <c r="H18">
        <v>18</v>
      </c>
      <c r="L18">
        <v>15</v>
      </c>
      <c r="M18">
        <v>12</v>
      </c>
      <c r="N18">
        <v>31</v>
      </c>
      <c r="O18">
        <v>85</v>
      </c>
      <c r="T18">
        <v>15</v>
      </c>
      <c r="U18">
        <v>17</v>
      </c>
      <c r="V18">
        <v>105</v>
      </c>
      <c r="W18">
        <v>160</v>
      </c>
      <c r="AB18">
        <v>15</v>
      </c>
      <c r="AC18">
        <v>19</v>
      </c>
      <c r="AD18">
        <v>108</v>
      </c>
      <c r="AE18">
        <v>120</v>
      </c>
    </row>
    <row r="19" spans="3:32" x14ac:dyDescent="0.25">
      <c r="C19">
        <v>16</v>
      </c>
      <c r="E19">
        <v>90</v>
      </c>
      <c r="F19">
        <v>30</v>
      </c>
      <c r="G19">
        <v>3</v>
      </c>
      <c r="H19">
        <v>40</v>
      </c>
      <c r="L19">
        <v>16</v>
      </c>
      <c r="M19">
        <v>112</v>
      </c>
      <c r="N19">
        <v>33</v>
      </c>
      <c r="O19">
        <v>8</v>
      </c>
      <c r="P19">
        <v>47</v>
      </c>
      <c r="T19">
        <v>16</v>
      </c>
      <c r="U19">
        <v>120</v>
      </c>
      <c r="V19">
        <v>140</v>
      </c>
      <c r="W19">
        <v>22</v>
      </c>
      <c r="AB19">
        <v>16</v>
      </c>
      <c r="AC19">
        <v>164</v>
      </c>
      <c r="AD19">
        <v>145</v>
      </c>
      <c r="AE19">
        <v>23</v>
      </c>
      <c r="AF19">
        <v>224</v>
      </c>
    </row>
    <row r="20" spans="3:32" x14ac:dyDescent="0.25">
      <c r="C20">
        <v>17</v>
      </c>
      <c r="E20">
        <v>8</v>
      </c>
      <c r="F20">
        <v>8</v>
      </c>
      <c r="G20">
        <v>510</v>
      </c>
      <c r="L20">
        <v>17</v>
      </c>
      <c r="M20">
        <v>10</v>
      </c>
      <c r="N20">
        <v>10</v>
      </c>
      <c r="T20">
        <v>17</v>
      </c>
      <c r="U20">
        <v>26</v>
      </c>
      <c r="V20">
        <v>21</v>
      </c>
      <c r="W20">
        <v>514</v>
      </c>
      <c r="AB20">
        <v>17</v>
      </c>
      <c r="AC20">
        <v>30</v>
      </c>
      <c r="AE20">
        <v>514</v>
      </c>
    </row>
    <row r="21" spans="3:32" x14ac:dyDescent="0.25">
      <c r="C21">
        <v>18</v>
      </c>
      <c r="E21">
        <v>13</v>
      </c>
      <c r="F21">
        <v>20</v>
      </c>
      <c r="L21">
        <v>18</v>
      </c>
      <c r="M21">
        <v>14</v>
      </c>
      <c r="N21">
        <v>23</v>
      </c>
      <c r="T21">
        <v>18</v>
      </c>
      <c r="U21">
        <v>22</v>
      </c>
      <c r="V21">
        <v>176</v>
      </c>
      <c r="AB21">
        <v>18</v>
      </c>
      <c r="AC21">
        <v>24</v>
      </c>
      <c r="AD21">
        <v>177</v>
      </c>
    </row>
    <row r="22" spans="3:32" x14ac:dyDescent="0.25">
      <c r="C22">
        <v>19</v>
      </c>
      <c r="E22">
        <v>12</v>
      </c>
      <c r="F22">
        <v>23</v>
      </c>
      <c r="G22">
        <v>14</v>
      </c>
      <c r="L22">
        <v>19</v>
      </c>
      <c r="M22">
        <v>12</v>
      </c>
      <c r="N22">
        <v>27</v>
      </c>
      <c r="O22">
        <v>35</v>
      </c>
      <c r="T22">
        <v>19</v>
      </c>
      <c r="U22">
        <v>16</v>
      </c>
      <c r="V22">
        <v>67</v>
      </c>
      <c r="W22">
        <v>116</v>
      </c>
      <c r="X22">
        <v>244</v>
      </c>
      <c r="AB22">
        <v>19</v>
      </c>
      <c r="AC22">
        <v>28</v>
      </c>
      <c r="AD22">
        <v>67</v>
      </c>
      <c r="AE22">
        <v>138</v>
      </c>
    </row>
    <row r="23" spans="3:32" x14ac:dyDescent="0.25">
      <c r="C23">
        <v>20</v>
      </c>
      <c r="E23">
        <v>12</v>
      </c>
      <c r="G23">
        <v>15</v>
      </c>
      <c r="H23" s="10" t="s">
        <v>258</v>
      </c>
      <c r="L23">
        <v>20</v>
      </c>
      <c r="M23">
        <v>14</v>
      </c>
      <c r="O23">
        <v>16</v>
      </c>
      <c r="T23">
        <v>20</v>
      </c>
      <c r="U23">
        <v>141</v>
      </c>
      <c r="W23">
        <v>303</v>
      </c>
      <c r="X23">
        <v>394</v>
      </c>
      <c r="AB23">
        <v>20</v>
      </c>
      <c r="AC23">
        <v>208</v>
      </c>
      <c r="AE23">
        <v>303</v>
      </c>
    </row>
    <row r="24" spans="3:32" x14ac:dyDescent="0.25">
      <c r="C24">
        <v>21</v>
      </c>
      <c r="E24">
        <v>35</v>
      </c>
      <c r="F24">
        <v>6</v>
      </c>
      <c r="G24">
        <v>22</v>
      </c>
      <c r="H24">
        <v>31</v>
      </c>
      <c r="L24">
        <v>21</v>
      </c>
      <c r="M24">
        <v>42</v>
      </c>
      <c r="N24">
        <v>12</v>
      </c>
      <c r="O24">
        <v>24</v>
      </c>
      <c r="P24">
        <v>37</v>
      </c>
      <c r="T24">
        <v>21</v>
      </c>
      <c r="U24">
        <v>54</v>
      </c>
      <c r="V24">
        <v>80</v>
      </c>
      <c r="W24">
        <v>71</v>
      </c>
      <c r="X24">
        <v>271</v>
      </c>
      <c r="AB24">
        <v>21</v>
      </c>
      <c r="AC24">
        <v>60</v>
      </c>
      <c r="AD24">
        <v>83</v>
      </c>
      <c r="AE24">
        <v>71</v>
      </c>
      <c r="AF24">
        <v>135</v>
      </c>
    </row>
    <row r="25" spans="3:32" x14ac:dyDescent="0.25">
      <c r="C25">
        <v>22</v>
      </c>
      <c r="E25">
        <v>14</v>
      </c>
      <c r="F25">
        <v>5</v>
      </c>
      <c r="G25">
        <v>4</v>
      </c>
      <c r="H25">
        <v>3</v>
      </c>
      <c r="L25">
        <v>22</v>
      </c>
      <c r="M25">
        <v>20</v>
      </c>
      <c r="N25">
        <v>7</v>
      </c>
      <c r="O25">
        <v>5</v>
      </c>
      <c r="P25">
        <v>10</v>
      </c>
      <c r="T25">
        <v>22</v>
      </c>
      <c r="U25">
        <v>24</v>
      </c>
      <c r="V25">
        <v>91</v>
      </c>
      <c r="W25">
        <v>61</v>
      </c>
      <c r="AB25">
        <v>22</v>
      </c>
      <c r="AC25">
        <v>30</v>
      </c>
      <c r="AD25">
        <v>185</v>
      </c>
      <c r="AE25">
        <v>62</v>
      </c>
      <c r="AF25">
        <v>306</v>
      </c>
    </row>
    <row r="26" spans="3:32" x14ac:dyDescent="0.25">
      <c r="C26">
        <v>23</v>
      </c>
      <c r="E26">
        <v>5</v>
      </c>
      <c r="F26">
        <v>15</v>
      </c>
      <c r="G26">
        <v>12</v>
      </c>
      <c r="H26">
        <v>23</v>
      </c>
      <c r="L26">
        <v>23</v>
      </c>
      <c r="M26">
        <v>8</v>
      </c>
      <c r="N26">
        <v>17</v>
      </c>
      <c r="O26">
        <v>22</v>
      </c>
      <c r="P26">
        <v>49</v>
      </c>
      <c r="T26">
        <v>23</v>
      </c>
      <c r="U26">
        <v>56</v>
      </c>
      <c r="V26">
        <v>96</v>
      </c>
      <c r="W26">
        <v>424</v>
      </c>
      <c r="AB26">
        <v>23</v>
      </c>
      <c r="AC26">
        <v>58</v>
      </c>
      <c r="AD26">
        <v>97</v>
      </c>
      <c r="AE26">
        <v>425</v>
      </c>
    </row>
    <row r="27" spans="3:32" x14ac:dyDescent="0.25">
      <c r="C27">
        <v>24</v>
      </c>
      <c r="L27">
        <v>24</v>
      </c>
      <c r="T27">
        <v>24</v>
      </c>
      <c r="AB27">
        <v>24</v>
      </c>
    </row>
    <row r="28" spans="3:32" x14ac:dyDescent="0.25">
      <c r="C28">
        <v>25</v>
      </c>
      <c r="E28">
        <v>55</v>
      </c>
      <c r="L28">
        <v>25</v>
      </c>
      <c r="M28">
        <v>59</v>
      </c>
      <c r="T28">
        <v>25</v>
      </c>
      <c r="U28">
        <v>332</v>
      </c>
      <c r="X28">
        <v>102</v>
      </c>
      <c r="AB28">
        <v>25</v>
      </c>
      <c r="AC28">
        <v>333</v>
      </c>
    </row>
    <row r="29" spans="3:32" x14ac:dyDescent="0.25">
      <c r="C29">
        <v>26</v>
      </c>
      <c r="E29">
        <v>7</v>
      </c>
      <c r="F29">
        <v>8</v>
      </c>
      <c r="G29">
        <v>13</v>
      </c>
      <c r="H29">
        <v>89</v>
      </c>
      <c r="L29">
        <v>26</v>
      </c>
      <c r="M29">
        <v>9</v>
      </c>
      <c r="N29">
        <v>10</v>
      </c>
      <c r="O29">
        <v>15</v>
      </c>
      <c r="P29">
        <v>156</v>
      </c>
      <c r="T29">
        <v>26</v>
      </c>
      <c r="U29">
        <v>22</v>
      </c>
      <c r="V29">
        <v>98</v>
      </c>
      <c r="W29">
        <v>157</v>
      </c>
      <c r="AB29">
        <v>26</v>
      </c>
      <c r="AC29">
        <v>32</v>
      </c>
      <c r="AD29">
        <v>99</v>
      </c>
      <c r="AE29">
        <v>158</v>
      </c>
      <c r="AF29">
        <v>162</v>
      </c>
    </row>
    <row r="30" spans="3:32" x14ac:dyDescent="0.25">
      <c r="C30">
        <v>27</v>
      </c>
      <c r="E30">
        <v>35</v>
      </c>
      <c r="F30">
        <v>70</v>
      </c>
      <c r="G30">
        <v>16</v>
      </c>
      <c r="H30" t="s">
        <v>181</v>
      </c>
      <c r="L30">
        <v>27</v>
      </c>
      <c r="M30">
        <v>42</v>
      </c>
      <c r="N30">
        <v>75</v>
      </c>
      <c r="O30">
        <v>19</v>
      </c>
      <c r="T30">
        <v>27</v>
      </c>
      <c r="U30">
        <v>50</v>
      </c>
      <c r="V30">
        <v>257</v>
      </c>
      <c r="W30">
        <v>24</v>
      </c>
      <c r="AB30">
        <v>27</v>
      </c>
      <c r="AC30">
        <v>5</v>
      </c>
      <c r="AD30">
        <v>257</v>
      </c>
      <c r="AE30">
        <v>24</v>
      </c>
    </row>
    <row r="31" spans="3:32" x14ac:dyDescent="0.25">
      <c r="C31">
        <v>28</v>
      </c>
      <c r="E31">
        <v>35</v>
      </c>
      <c r="F31">
        <v>30</v>
      </c>
      <c r="G31">
        <v>73</v>
      </c>
      <c r="H31">
        <v>17</v>
      </c>
      <c r="L31">
        <v>28</v>
      </c>
      <c r="M31">
        <v>37</v>
      </c>
      <c r="N31">
        <v>37</v>
      </c>
      <c r="O31">
        <v>76</v>
      </c>
      <c r="P31">
        <v>18</v>
      </c>
      <c r="T31">
        <v>28</v>
      </c>
      <c r="U31">
        <v>45</v>
      </c>
      <c r="V31">
        <v>67</v>
      </c>
      <c r="W31">
        <v>86</v>
      </c>
      <c r="AB31">
        <v>28</v>
      </c>
      <c r="AC31">
        <v>47</v>
      </c>
      <c r="AD31">
        <v>69</v>
      </c>
      <c r="AE31">
        <v>86</v>
      </c>
      <c r="AF31">
        <v>22</v>
      </c>
    </row>
    <row r="32" spans="3:32" x14ac:dyDescent="0.25">
      <c r="C32">
        <v>30</v>
      </c>
      <c r="E32">
        <v>1</v>
      </c>
      <c r="F32">
        <v>39</v>
      </c>
      <c r="G32">
        <v>170</v>
      </c>
      <c r="L32">
        <v>30</v>
      </c>
      <c r="M32">
        <v>2</v>
      </c>
      <c r="N32">
        <v>39</v>
      </c>
      <c r="O32">
        <v>183</v>
      </c>
      <c r="T32">
        <v>30</v>
      </c>
      <c r="U32">
        <v>46</v>
      </c>
      <c r="V32">
        <v>42</v>
      </c>
      <c r="AB32">
        <v>30</v>
      </c>
      <c r="AC32">
        <v>20</v>
      </c>
      <c r="AD32">
        <v>43</v>
      </c>
    </row>
    <row r="33" spans="3:32" x14ac:dyDescent="0.25">
      <c r="C33">
        <v>32</v>
      </c>
      <c r="E33">
        <v>10</v>
      </c>
      <c r="F33">
        <v>10</v>
      </c>
      <c r="G33">
        <v>23</v>
      </c>
      <c r="H33">
        <v>25</v>
      </c>
      <c r="L33">
        <v>32</v>
      </c>
      <c r="M33">
        <v>12</v>
      </c>
      <c r="N33">
        <v>12</v>
      </c>
      <c r="O33">
        <v>32</v>
      </c>
      <c r="T33">
        <v>32</v>
      </c>
      <c r="U33">
        <v>45</v>
      </c>
      <c r="V33">
        <v>139</v>
      </c>
      <c r="W33">
        <v>93</v>
      </c>
      <c r="AB33">
        <v>32</v>
      </c>
      <c r="AC33">
        <v>38</v>
      </c>
      <c r="AD33">
        <v>140</v>
      </c>
      <c r="AE33">
        <v>133</v>
      </c>
      <c r="AF33">
        <v>457</v>
      </c>
    </row>
    <row r="34" spans="3:32" x14ac:dyDescent="0.25">
      <c r="C34">
        <v>33</v>
      </c>
      <c r="E34">
        <v>30</v>
      </c>
      <c r="F34">
        <v>175</v>
      </c>
      <c r="G34">
        <v>16</v>
      </c>
      <c r="H34">
        <v>21</v>
      </c>
      <c r="L34">
        <v>33</v>
      </c>
      <c r="M34">
        <v>36</v>
      </c>
      <c r="N34">
        <v>179</v>
      </c>
      <c r="O34">
        <v>25</v>
      </c>
      <c r="P34">
        <v>28</v>
      </c>
      <c r="T34">
        <v>33</v>
      </c>
      <c r="U34">
        <v>39</v>
      </c>
      <c r="V34">
        <v>181</v>
      </c>
      <c r="W34">
        <v>156</v>
      </c>
      <c r="X34">
        <v>136</v>
      </c>
      <c r="AB34">
        <v>33</v>
      </c>
      <c r="AC34">
        <v>40</v>
      </c>
      <c r="AD34">
        <v>182</v>
      </c>
      <c r="AE34">
        <v>203</v>
      </c>
      <c r="AF34">
        <v>93</v>
      </c>
    </row>
    <row r="35" spans="3:32" x14ac:dyDescent="0.25">
      <c r="C35">
        <v>36</v>
      </c>
      <c r="E35">
        <v>9</v>
      </c>
      <c r="G35">
        <v>12</v>
      </c>
      <c r="L35">
        <v>36</v>
      </c>
      <c r="M35">
        <v>10</v>
      </c>
      <c r="O35">
        <v>13</v>
      </c>
      <c r="T35">
        <v>36</v>
      </c>
      <c r="U35">
        <v>17</v>
      </c>
      <c r="W35">
        <v>125</v>
      </c>
      <c r="AB35">
        <v>36</v>
      </c>
      <c r="AC35">
        <v>33</v>
      </c>
      <c r="AE35">
        <v>140</v>
      </c>
    </row>
    <row r="36" spans="3:32" x14ac:dyDescent="0.25">
      <c r="C36">
        <v>37</v>
      </c>
      <c r="E36">
        <v>30</v>
      </c>
      <c r="F36">
        <v>39</v>
      </c>
      <c r="G36">
        <v>16</v>
      </c>
      <c r="H36">
        <v>95</v>
      </c>
      <c r="L36">
        <v>37</v>
      </c>
      <c r="M36">
        <v>31</v>
      </c>
      <c r="N36">
        <v>45</v>
      </c>
      <c r="O36">
        <v>105</v>
      </c>
      <c r="T36">
        <v>37</v>
      </c>
      <c r="U36">
        <v>63</v>
      </c>
      <c r="V36">
        <v>301</v>
      </c>
      <c r="W36">
        <v>106</v>
      </c>
      <c r="X36">
        <v>171</v>
      </c>
      <c r="AB36">
        <v>37</v>
      </c>
      <c r="AC36">
        <v>34</v>
      </c>
      <c r="AD36">
        <v>302</v>
      </c>
      <c r="AE36">
        <v>107</v>
      </c>
    </row>
    <row r="37" spans="3:32" x14ac:dyDescent="0.25">
      <c r="C37">
        <v>38</v>
      </c>
      <c r="E37">
        <v>8</v>
      </c>
      <c r="F37">
        <v>33</v>
      </c>
      <c r="G37">
        <v>24</v>
      </c>
      <c r="H37">
        <v>25</v>
      </c>
      <c r="L37">
        <v>38</v>
      </c>
      <c r="M37">
        <v>10</v>
      </c>
      <c r="N37">
        <v>42</v>
      </c>
      <c r="O37">
        <v>26</v>
      </c>
      <c r="T37">
        <v>38</v>
      </c>
      <c r="U37">
        <v>29</v>
      </c>
      <c r="V37">
        <v>74</v>
      </c>
      <c r="W37">
        <v>324</v>
      </c>
      <c r="AB37">
        <v>38</v>
      </c>
      <c r="AC37">
        <v>31</v>
      </c>
      <c r="AD37">
        <v>92</v>
      </c>
      <c r="AE37">
        <v>324</v>
      </c>
    </row>
    <row r="38" spans="3:32" x14ac:dyDescent="0.25">
      <c r="C38">
        <v>39</v>
      </c>
      <c r="E38">
        <v>41</v>
      </c>
      <c r="F38">
        <v>16</v>
      </c>
      <c r="G38">
        <v>73</v>
      </c>
      <c r="H38" t="s">
        <v>181</v>
      </c>
      <c r="L38">
        <v>39</v>
      </c>
      <c r="M38">
        <v>48</v>
      </c>
      <c r="N38">
        <v>18</v>
      </c>
      <c r="O38">
        <v>74</v>
      </c>
      <c r="T38">
        <v>39</v>
      </c>
      <c r="U38">
        <v>102</v>
      </c>
      <c r="V38">
        <v>114</v>
      </c>
      <c r="AB38">
        <v>39</v>
      </c>
      <c r="AD38">
        <v>116</v>
      </c>
    </row>
    <row r="39" spans="3:32" x14ac:dyDescent="0.25">
      <c r="C39">
        <v>40</v>
      </c>
      <c r="E39">
        <v>20</v>
      </c>
      <c r="F39">
        <v>17</v>
      </c>
      <c r="G39">
        <v>12</v>
      </c>
      <c r="H39">
        <v>235</v>
      </c>
      <c r="L39">
        <v>40</v>
      </c>
      <c r="M39">
        <v>23</v>
      </c>
      <c r="N39">
        <v>20</v>
      </c>
      <c r="O39">
        <v>19</v>
      </c>
      <c r="T39">
        <v>40</v>
      </c>
      <c r="U39">
        <v>25</v>
      </c>
      <c r="V39">
        <v>88</v>
      </c>
      <c r="W39">
        <v>42</v>
      </c>
      <c r="AB39">
        <v>40</v>
      </c>
      <c r="AC39">
        <v>26</v>
      </c>
      <c r="AD39">
        <v>89</v>
      </c>
      <c r="AE39">
        <v>43</v>
      </c>
    </row>
    <row r="40" spans="3:32" x14ac:dyDescent="0.25">
      <c r="C40">
        <v>41</v>
      </c>
      <c r="E40">
        <v>26</v>
      </c>
      <c r="F40" s="10" t="s">
        <v>181</v>
      </c>
      <c r="L40">
        <v>41</v>
      </c>
      <c r="M40">
        <v>30</v>
      </c>
      <c r="T40">
        <v>41</v>
      </c>
      <c r="U40">
        <v>79</v>
      </c>
      <c r="AB40">
        <v>41</v>
      </c>
      <c r="AC40">
        <v>80</v>
      </c>
    </row>
    <row r="41" spans="3:32" x14ac:dyDescent="0.25">
      <c r="C41">
        <v>42</v>
      </c>
      <c r="E41">
        <v>16</v>
      </c>
      <c r="F41">
        <v>18</v>
      </c>
      <c r="G41" s="10" t="s">
        <v>181</v>
      </c>
      <c r="L41">
        <v>42</v>
      </c>
      <c r="M41">
        <v>22</v>
      </c>
      <c r="N41">
        <v>20</v>
      </c>
      <c r="T41">
        <v>42</v>
      </c>
      <c r="U41">
        <v>46</v>
      </c>
      <c r="V41">
        <v>52</v>
      </c>
      <c r="AB41">
        <v>42</v>
      </c>
      <c r="AC41">
        <v>73</v>
      </c>
      <c r="AD41">
        <v>53</v>
      </c>
    </row>
    <row r="42" spans="3:32" x14ac:dyDescent="0.25">
      <c r="C42">
        <v>43</v>
      </c>
      <c r="E42">
        <v>1</v>
      </c>
      <c r="F42">
        <v>10</v>
      </c>
      <c r="G42">
        <v>9</v>
      </c>
      <c r="H42">
        <v>18</v>
      </c>
      <c r="L42">
        <v>43</v>
      </c>
      <c r="M42">
        <v>3</v>
      </c>
      <c r="N42">
        <v>18</v>
      </c>
      <c r="O42">
        <v>11</v>
      </c>
      <c r="P42">
        <v>20</v>
      </c>
      <c r="T42">
        <v>43</v>
      </c>
      <c r="U42">
        <v>47</v>
      </c>
      <c r="V42">
        <v>22</v>
      </c>
      <c r="W42">
        <v>84</v>
      </c>
      <c r="AB42">
        <v>43</v>
      </c>
      <c r="AC42">
        <v>50</v>
      </c>
      <c r="AD42">
        <v>23</v>
      </c>
      <c r="AE42">
        <v>84</v>
      </c>
      <c r="AF42">
        <v>104</v>
      </c>
    </row>
    <row r="43" spans="3:32" x14ac:dyDescent="0.25">
      <c r="C43">
        <v>44</v>
      </c>
      <c r="E43">
        <v>10</v>
      </c>
      <c r="F43">
        <v>32</v>
      </c>
      <c r="G43">
        <v>55</v>
      </c>
      <c r="H43">
        <v>43</v>
      </c>
      <c r="L43">
        <v>44</v>
      </c>
      <c r="M43">
        <v>17</v>
      </c>
      <c r="N43">
        <v>34</v>
      </c>
      <c r="O43">
        <v>57</v>
      </c>
      <c r="T43">
        <v>44</v>
      </c>
      <c r="U43">
        <v>57</v>
      </c>
      <c r="V43">
        <v>234</v>
      </c>
      <c r="W43">
        <v>347</v>
      </c>
      <c r="AB43">
        <v>44</v>
      </c>
      <c r="AC43">
        <v>139</v>
      </c>
      <c r="AD43">
        <v>187</v>
      </c>
      <c r="AE43">
        <v>327</v>
      </c>
    </row>
    <row r="44" spans="3:32" x14ac:dyDescent="0.25">
      <c r="C44">
        <v>45</v>
      </c>
      <c r="E44">
        <v>11</v>
      </c>
      <c r="F44">
        <v>10</v>
      </c>
      <c r="G44">
        <v>32</v>
      </c>
      <c r="L44">
        <v>45</v>
      </c>
      <c r="M44">
        <v>13</v>
      </c>
      <c r="N44">
        <v>11</v>
      </c>
      <c r="O44">
        <v>35</v>
      </c>
      <c r="T44">
        <v>45</v>
      </c>
      <c r="U44">
        <v>58</v>
      </c>
      <c r="V44">
        <v>20</v>
      </c>
      <c r="W44">
        <v>124</v>
      </c>
      <c r="X44">
        <v>143</v>
      </c>
      <c r="AB44">
        <v>45</v>
      </c>
      <c r="AC44">
        <v>48</v>
      </c>
      <c r="AD44">
        <v>21</v>
      </c>
      <c r="AE44">
        <v>97</v>
      </c>
    </row>
    <row r="45" spans="3:32" x14ac:dyDescent="0.25">
      <c r="C45">
        <v>47</v>
      </c>
      <c r="E45">
        <v>10</v>
      </c>
      <c r="F45">
        <v>89</v>
      </c>
      <c r="G45">
        <v>19</v>
      </c>
      <c r="L45">
        <v>47</v>
      </c>
      <c r="M45">
        <v>23</v>
      </c>
      <c r="N45">
        <v>91</v>
      </c>
      <c r="O45">
        <v>26</v>
      </c>
      <c r="T45">
        <v>47</v>
      </c>
      <c r="U45">
        <v>159</v>
      </c>
      <c r="V45">
        <v>112</v>
      </c>
      <c r="AB45">
        <v>47</v>
      </c>
      <c r="AC45">
        <v>160</v>
      </c>
      <c r="AD45">
        <v>119</v>
      </c>
    </row>
    <row r="46" spans="3:32" x14ac:dyDescent="0.25">
      <c r="C46">
        <v>48</v>
      </c>
      <c r="E46">
        <v>10</v>
      </c>
      <c r="G46">
        <v>40</v>
      </c>
      <c r="H46" s="10" t="s">
        <v>181</v>
      </c>
      <c r="L46">
        <v>48</v>
      </c>
      <c r="M46">
        <v>13</v>
      </c>
      <c r="O46">
        <v>44</v>
      </c>
      <c r="T46">
        <v>48</v>
      </c>
      <c r="U46">
        <v>61</v>
      </c>
      <c r="AB46">
        <v>48</v>
      </c>
      <c r="AC46">
        <v>62</v>
      </c>
    </row>
    <row r="47" spans="3:32" x14ac:dyDescent="0.25">
      <c r="C47">
        <v>49</v>
      </c>
      <c r="E47">
        <v>32</v>
      </c>
      <c r="F47">
        <v>65</v>
      </c>
      <c r="G47">
        <v>30</v>
      </c>
      <c r="H47" s="10" t="s">
        <v>181</v>
      </c>
      <c r="L47">
        <v>49</v>
      </c>
      <c r="M47">
        <v>34</v>
      </c>
      <c r="N47">
        <v>72</v>
      </c>
      <c r="O47">
        <v>34</v>
      </c>
      <c r="T47">
        <v>49</v>
      </c>
      <c r="U47">
        <v>44</v>
      </c>
      <c r="V47">
        <v>99</v>
      </c>
      <c r="W47">
        <v>104</v>
      </c>
      <c r="AB47">
        <v>49</v>
      </c>
      <c r="AC47">
        <v>77</v>
      </c>
      <c r="AD47">
        <v>102</v>
      </c>
      <c r="AE47">
        <v>105</v>
      </c>
    </row>
    <row r="48" spans="3:32" x14ac:dyDescent="0.25">
      <c r="C48">
        <v>50</v>
      </c>
      <c r="E48">
        <v>12</v>
      </c>
      <c r="F48">
        <v>22</v>
      </c>
      <c r="G48">
        <v>15</v>
      </c>
      <c r="L48">
        <v>50</v>
      </c>
      <c r="M48">
        <v>17</v>
      </c>
      <c r="N48">
        <v>37</v>
      </c>
      <c r="O48">
        <v>24</v>
      </c>
      <c r="T48">
        <v>50</v>
      </c>
      <c r="U48">
        <v>80</v>
      </c>
      <c r="V48">
        <v>57</v>
      </c>
      <c r="W48">
        <v>80</v>
      </c>
      <c r="AB48">
        <v>50</v>
      </c>
      <c r="AC48">
        <v>168</v>
      </c>
      <c r="AD48">
        <v>58</v>
      </c>
      <c r="AE48">
        <v>81</v>
      </c>
    </row>
    <row r="49" spans="3:32" x14ac:dyDescent="0.25">
      <c r="C49">
        <v>51</v>
      </c>
      <c r="E49">
        <v>30</v>
      </c>
      <c r="F49">
        <v>32</v>
      </c>
      <c r="G49">
        <v>383</v>
      </c>
      <c r="H49">
        <v>16</v>
      </c>
      <c r="L49">
        <v>51</v>
      </c>
      <c r="M49">
        <v>34</v>
      </c>
      <c r="N49">
        <v>50</v>
      </c>
      <c r="O49">
        <v>385</v>
      </c>
      <c r="P49">
        <v>21</v>
      </c>
      <c r="T49">
        <v>51</v>
      </c>
      <c r="AB49">
        <v>51</v>
      </c>
    </row>
    <row r="50" spans="3:32" x14ac:dyDescent="0.25">
      <c r="C50">
        <v>52</v>
      </c>
      <c r="E50">
        <v>16</v>
      </c>
      <c r="F50">
        <v>31</v>
      </c>
      <c r="G50" s="10" t="s">
        <v>181</v>
      </c>
      <c r="L50">
        <v>52</v>
      </c>
      <c r="M50">
        <v>23</v>
      </c>
      <c r="T50">
        <v>52</v>
      </c>
      <c r="U50">
        <v>25</v>
      </c>
      <c r="AB50">
        <v>52</v>
      </c>
      <c r="AC50">
        <v>26</v>
      </c>
    </row>
    <row r="51" spans="3:32" x14ac:dyDescent="0.25">
      <c r="C51">
        <v>53</v>
      </c>
      <c r="E51">
        <v>15</v>
      </c>
      <c r="F51">
        <v>25</v>
      </c>
      <c r="G51" s="10" t="s">
        <v>181</v>
      </c>
      <c r="L51">
        <v>53</v>
      </c>
      <c r="M51">
        <v>17</v>
      </c>
      <c r="N51">
        <v>27</v>
      </c>
      <c r="T51">
        <v>53</v>
      </c>
      <c r="U51">
        <v>119</v>
      </c>
      <c r="V51">
        <v>71</v>
      </c>
      <c r="AB51">
        <v>53</v>
      </c>
      <c r="AC51">
        <v>121</v>
      </c>
      <c r="AD51">
        <v>72</v>
      </c>
    </row>
    <row r="52" spans="3:32" x14ac:dyDescent="0.25">
      <c r="C52">
        <v>54</v>
      </c>
      <c r="E52">
        <v>56</v>
      </c>
      <c r="F52">
        <v>24</v>
      </c>
      <c r="G52">
        <v>15</v>
      </c>
      <c r="L52">
        <v>54</v>
      </c>
      <c r="M52">
        <v>69</v>
      </c>
      <c r="N52">
        <v>26</v>
      </c>
      <c r="O52">
        <v>15</v>
      </c>
      <c r="T52">
        <v>54</v>
      </c>
      <c r="U52">
        <v>145</v>
      </c>
      <c r="V52">
        <v>71</v>
      </c>
      <c r="X52">
        <v>506</v>
      </c>
      <c r="AB52">
        <v>54</v>
      </c>
      <c r="AC52">
        <v>147</v>
      </c>
      <c r="AD52">
        <v>73</v>
      </c>
    </row>
    <row r="53" spans="3:32" x14ac:dyDescent="0.25">
      <c r="C53">
        <v>55</v>
      </c>
      <c r="L53">
        <v>55</v>
      </c>
      <c r="T53">
        <v>55</v>
      </c>
      <c r="AB53">
        <v>55</v>
      </c>
    </row>
    <row r="54" spans="3:32" x14ac:dyDescent="0.25">
      <c r="C54">
        <v>56</v>
      </c>
      <c r="E54">
        <v>48</v>
      </c>
      <c r="F54">
        <v>26</v>
      </c>
      <c r="G54">
        <v>69</v>
      </c>
      <c r="L54">
        <v>56</v>
      </c>
      <c r="M54">
        <v>56</v>
      </c>
      <c r="N54">
        <v>28</v>
      </c>
      <c r="O54">
        <v>74</v>
      </c>
      <c r="T54">
        <v>56</v>
      </c>
      <c r="U54">
        <v>74</v>
      </c>
      <c r="W54">
        <v>281</v>
      </c>
      <c r="AB54">
        <v>56</v>
      </c>
      <c r="AC54">
        <v>305</v>
      </c>
      <c r="AD54">
        <v>265</v>
      </c>
      <c r="AE54">
        <v>282</v>
      </c>
    </row>
    <row r="55" spans="3:32" x14ac:dyDescent="0.25">
      <c r="C55">
        <v>57</v>
      </c>
      <c r="E55">
        <v>51</v>
      </c>
      <c r="F55">
        <v>20</v>
      </c>
      <c r="G55">
        <v>2</v>
      </c>
      <c r="H55">
        <v>12</v>
      </c>
      <c r="L55">
        <v>57</v>
      </c>
      <c r="M55">
        <v>52</v>
      </c>
      <c r="N55">
        <v>27</v>
      </c>
      <c r="O55">
        <v>3</v>
      </c>
      <c r="P55">
        <v>13</v>
      </c>
      <c r="T55">
        <v>57</v>
      </c>
      <c r="U55">
        <v>62</v>
      </c>
      <c r="V55">
        <v>30</v>
      </c>
      <c r="AB55">
        <v>57</v>
      </c>
      <c r="AC55">
        <v>63</v>
      </c>
      <c r="AD55">
        <v>31</v>
      </c>
      <c r="AF55">
        <v>74</v>
      </c>
    </row>
    <row r="56" spans="3:32" x14ac:dyDescent="0.25">
      <c r="C56">
        <v>58</v>
      </c>
      <c r="E56">
        <v>29</v>
      </c>
      <c r="F56">
        <v>44</v>
      </c>
      <c r="G56">
        <v>86</v>
      </c>
      <c r="H56">
        <v>55</v>
      </c>
      <c r="L56">
        <v>58</v>
      </c>
      <c r="M56">
        <v>31</v>
      </c>
      <c r="N56">
        <v>45</v>
      </c>
      <c r="O56">
        <v>87</v>
      </c>
      <c r="P56">
        <v>172</v>
      </c>
      <c r="T56">
        <v>58</v>
      </c>
      <c r="U56">
        <v>107</v>
      </c>
      <c r="V56">
        <v>122</v>
      </c>
      <c r="AB56">
        <v>58</v>
      </c>
      <c r="AC56">
        <v>109</v>
      </c>
      <c r="AD56">
        <v>79</v>
      </c>
    </row>
    <row r="57" spans="3:32" x14ac:dyDescent="0.25">
      <c r="C57">
        <v>59</v>
      </c>
      <c r="F57">
        <v>28</v>
      </c>
      <c r="G57" t="s">
        <v>181</v>
      </c>
      <c r="L57">
        <v>59</v>
      </c>
      <c r="N57">
        <v>29</v>
      </c>
      <c r="T57">
        <v>59</v>
      </c>
      <c r="V57">
        <v>150</v>
      </c>
      <c r="AB57">
        <v>59</v>
      </c>
      <c r="AD57">
        <v>186</v>
      </c>
    </row>
    <row r="58" spans="3:32" x14ac:dyDescent="0.25">
      <c r="C58">
        <v>71</v>
      </c>
      <c r="E58">
        <v>76</v>
      </c>
      <c r="F58">
        <v>7</v>
      </c>
      <c r="G58">
        <v>33</v>
      </c>
      <c r="L58">
        <v>71</v>
      </c>
      <c r="M58">
        <v>78</v>
      </c>
      <c r="N58">
        <v>8</v>
      </c>
      <c r="O58">
        <v>43</v>
      </c>
      <c r="T58">
        <v>71</v>
      </c>
      <c r="U58">
        <v>225</v>
      </c>
      <c r="V58">
        <v>97</v>
      </c>
      <c r="W58">
        <v>145</v>
      </c>
      <c r="AB58">
        <v>71</v>
      </c>
      <c r="AC58">
        <v>227</v>
      </c>
      <c r="AD58">
        <v>98</v>
      </c>
      <c r="AE58">
        <v>145</v>
      </c>
    </row>
    <row r="59" spans="3:32" x14ac:dyDescent="0.25">
      <c r="C59">
        <v>72</v>
      </c>
      <c r="E59">
        <v>1</v>
      </c>
      <c r="F59" s="10" t="s">
        <v>181</v>
      </c>
      <c r="L59">
        <v>72</v>
      </c>
      <c r="M59">
        <v>3</v>
      </c>
      <c r="T59">
        <v>72</v>
      </c>
      <c r="U59">
        <v>39</v>
      </c>
      <c r="AB59">
        <v>72</v>
      </c>
      <c r="AC59">
        <v>41</v>
      </c>
    </row>
    <row r="60" spans="3:32" x14ac:dyDescent="0.25">
      <c r="C60">
        <v>73</v>
      </c>
      <c r="E60">
        <v>15</v>
      </c>
      <c r="G60" s="10" t="s">
        <v>181</v>
      </c>
      <c r="L60">
        <v>73</v>
      </c>
      <c r="M60">
        <v>18</v>
      </c>
      <c r="T60">
        <v>73</v>
      </c>
      <c r="U60">
        <v>30</v>
      </c>
      <c r="AB60">
        <v>73</v>
      </c>
      <c r="AC60">
        <v>59</v>
      </c>
    </row>
    <row r="61" spans="3:32" x14ac:dyDescent="0.25">
      <c r="C61">
        <v>74</v>
      </c>
      <c r="E61">
        <v>10</v>
      </c>
      <c r="F61">
        <v>11</v>
      </c>
      <c r="G61">
        <v>71</v>
      </c>
      <c r="L61">
        <v>74</v>
      </c>
      <c r="M61">
        <v>11</v>
      </c>
      <c r="N61">
        <v>12</v>
      </c>
      <c r="O61">
        <v>71</v>
      </c>
      <c r="T61">
        <v>74</v>
      </c>
      <c r="U61">
        <v>14</v>
      </c>
      <c r="V61">
        <v>55</v>
      </c>
      <c r="AB61">
        <v>74</v>
      </c>
      <c r="AC61">
        <v>15</v>
      </c>
      <c r="AD61">
        <v>116</v>
      </c>
    </row>
    <row r="62" spans="3:32" x14ac:dyDescent="0.25">
      <c r="C62">
        <v>75</v>
      </c>
      <c r="E62">
        <v>20</v>
      </c>
      <c r="H62" s="10" t="s">
        <v>181</v>
      </c>
      <c r="L62">
        <v>75</v>
      </c>
      <c r="M62">
        <v>22</v>
      </c>
      <c r="T62">
        <v>75</v>
      </c>
      <c r="U62">
        <v>24</v>
      </c>
      <c r="AB62">
        <v>75</v>
      </c>
      <c r="AC62">
        <v>123</v>
      </c>
    </row>
    <row r="63" spans="3:32" x14ac:dyDescent="0.25">
      <c r="C63">
        <v>76</v>
      </c>
      <c r="E63">
        <v>10</v>
      </c>
      <c r="F63">
        <v>133</v>
      </c>
      <c r="G63" t="s">
        <v>181</v>
      </c>
      <c r="L63">
        <v>76</v>
      </c>
      <c r="M63">
        <v>13</v>
      </c>
      <c r="N63">
        <v>136</v>
      </c>
      <c r="T63">
        <v>76</v>
      </c>
      <c r="U63">
        <v>104</v>
      </c>
      <c r="AB63">
        <v>76</v>
      </c>
      <c r="AC63">
        <v>106</v>
      </c>
    </row>
    <row r="64" spans="3:32" x14ac:dyDescent="0.25">
      <c r="C64">
        <v>77</v>
      </c>
      <c r="E64">
        <v>5</v>
      </c>
      <c r="F64">
        <v>42</v>
      </c>
      <c r="G64">
        <v>13</v>
      </c>
      <c r="H64">
        <v>17</v>
      </c>
      <c r="L64">
        <v>77</v>
      </c>
      <c r="M64">
        <v>7</v>
      </c>
      <c r="N64">
        <v>43</v>
      </c>
      <c r="O64">
        <v>14</v>
      </c>
      <c r="P64">
        <v>24</v>
      </c>
      <c r="T64">
        <v>77</v>
      </c>
      <c r="U64">
        <v>26</v>
      </c>
      <c r="V64">
        <v>116</v>
      </c>
      <c r="W64">
        <v>20</v>
      </c>
      <c r="X64">
        <v>71</v>
      </c>
      <c r="AB64">
        <v>77</v>
      </c>
      <c r="AC64">
        <v>54</v>
      </c>
      <c r="AD64">
        <v>117</v>
      </c>
      <c r="AE64">
        <v>20</v>
      </c>
      <c r="AF64">
        <v>30</v>
      </c>
    </row>
    <row r="65" spans="1:32" x14ac:dyDescent="0.25">
      <c r="C65">
        <v>79</v>
      </c>
      <c r="E65">
        <v>33</v>
      </c>
      <c r="F65">
        <v>18</v>
      </c>
      <c r="G65">
        <v>6</v>
      </c>
      <c r="H65">
        <v>31</v>
      </c>
      <c r="L65">
        <v>79</v>
      </c>
      <c r="M65">
        <v>38</v>
      </c>
      <c r="N65">
        <v>26</v>
      </c>
      <c r="O65">
        <v>8</v>
      </c>
      <c r="P65">
        <v>184</v>
      </c>
      <c r="T65">
        <v>79</v>
      </c>
      <c r="U65">
        <v>144</v>
      </c>
      <c r="V65">
        <v>57</v>
      </c>
      <c r="W65">
        <v>91</v>
      </c>
      <c r="AB65">
        <v>79</v>
      </c>
      <c r="AC65">
        <v>146</v>
      </c>
      <c r="AD65">
        <v>199</v>
      </c>
      <c r="AE65">
        <v>93</v>
      </c>
      <c r="AF65">
        <v>344</v>
      </c>
    </row>
    <row r="66" spans="1:32" x14ac:dyDescent="0.25">
      <c r="C66">
        <v>80</v>
      </c>
      <c r="E66">
        <v>100</v>
      </c>
      <c r="F66">
        <v>50</v>
      </c>
      <c r="G66">
        <v>17</v>
      </c>
      <c r="L66">
        <v>80</v>
      </c>
      <c r="M66">
        <v>103</v>
      </c>
      <c r="N66">
        <v>54</v>
      </c>
      <c r="O66">
        <v>31</v>
      </c>
      <c r="T66">
        <v>80</v>
      </c>
      <c r="U66">
        <v>155</v>
      </c>
      <c r="V66">
        <v>104</v>
      </c>
      <c r="W66">
        <v>378</v>
      </c>
      <c r="AB66">
        <v>80</v>
      </c>
      <c r="AC66">
        <v>334</v>
      </c>
      <c r="AD66">
        <v>162</v>
      </c>
      <c r="AE66">
        <v>378</v>
      </c>
    </row>
    <row r="67" spans="1:32" x14ac:dyDescent="0.25">
      <c r="C67">
        <v>81</v>
      </c>
      <c r="E67">
        <v>10</v>
      </c>
      <c r="F67">
        <v>31</v>
      </c>
      <c r="L67">
        <v>81</v>
      </c>
      <c r="M67">
        <v>15</v>
      </c>
      <c r="N67">
        <v>35</v>
      </c>
      <c r="T67">
        <v>81</v>
      </c>
      <c r="U67">
        <v>62</v>
      </c>
      <c r="V67">
        <v>48</v>
      </c>
      <c r="AB67">
        <v>81</v>
      </c>
      <c r="AC67">
        <v>76</v>
      </c>
      <c r="AD67">
        <v>49</v>
      </c>
    </row>
    <row r="68" spans="1:32" x14ac:dyDescent="0.25">
      <c r="C68">
        <v>83</v>
      </c>
      <c r="E68">
        <v>40</v>
      </c>
      <c r="F68">
        <v>16</v>
      </c>
      <c r="G68">
        <v>23</v>
      </c>
      <c r="H68">
        <v>11</v>
      </c>
      <c r="L68">
        <v>83</v>
      </c>
      <c r="M68">
        <v>42</v>
      </c>
      <c r="N68">
        <v>17</v>
      </c>
      <c r="O68">
        <v>25</v>
      </c>
      <c r="P68">
        <v>38</v>
      </c>
      <c r="T68">
        <v>83</v>
      </c>
      <c r="U68">
        <v>59</v>
      </c>
      <c r="V68">
        <v>182</v>
      </c>
      <c r="W68">
        <v>95</v>
      </c>
      <c r="AB68">
        <v>83</v>
      </c>
      <c r="AC68">
        <v>165</v>
      </c>
      <c r="AD68">
        <v>137</v>
      </c>
      <c r="AE68">
        <v>96</v>
      </c>
      <c r="AF68">
        <v>117</v>
      </c>
    </row>
    <row r="69" spans="1:32" x14ac:dyDescent="0.25">
      <c r="C69">
        <v>85</v>
      </c>
      <c r="E69">
        <v>30</v>
      </c>
      <c r="F69">
        <v>43</v>
      </c>
      <c r="G69">
        <v>80</v>
      </c>
      <c r="H69">
        <v>66</v>
      </c>
      <c r="L69">
        <v>85</v>
      </c>
      <c r="M69">
        <v>35</v>
      </c>
      <c r="N69">
        <v>45</v>
      </c>
      <c r="O69">
        <v>84</v>
      </c>
      <c r="P69">
        <v>168</v>
      </c>
      <c r="T69">
        <v>85</v>
      </c>
      <c r="U69">
        <v>48</v>
      </c>
      <c r="V69">
        <v>222</v>
      </c>
      <c r="AB69">
        <v>85</v>
      </c>
      <c r="AC69">
        <v>100</v>
      </c>
      <c r="AD69">
        <v>223</v>
      </c>
      <c r="AE69">
        <v>297</v>
      </c>
    </row>
    <row r="70" spans="1:32" x14ac:dyDescent="0.25">
      <c r="C70">
        <v>86</v>
      </c>
      <c r="E70">
        <v>20</v>
      </c>
      <c r="G70">
        <v>87</v>
      </c>
      <c r="H70">
        <v>7</v>
      </c>
      <c r="L70">
        <v>86</v>
      </c>
      <c r="M70">
        <v>23</v>
      </c>
      <c r="O70">
        <v>87</v>
      </c>
      <c r="P70">
        <v>21</v>
      </c>
      <c r="T70">
        <v>86</v>
      </c>
      <c r="U70">
        <v>45</v>
      </c>
      <c r="W70">
        <v>96</v>
      </c>
      <c r="AB70">
        <v>86</v>
      </c>
      <c r="AC70">
        <v>51</v>
      </c>
      <c r="AE70">
        <v>97</v>
      </c>
      <c r="AF70">
        <v>75</v>
      </c>
    </row>
    <row r="73" spans="1:32" ht="28.5" x14ac:dyDescent="0.45">
      <c r="A73" s="30" t="s">
        <v>284</v>
      </c>
    </row>
    <row r="74" spans="1:32" ht="26.25" x14ac:dyDescent="0.4">
      <c r="E74" s="26" t="s">
        <v>260</v>
      </c>
      <c r="F74" s="26"/>
      <c r="G74" s="26"/>
      <c r="H74" s="26"/>
      <c r="I74" s="26"/>
      <c r="J74" s="26"/>
      <c r="K74" s="26"/>
      <c r="L74" s="26" t="s">
        <v>261</v>
      </c>
      <c r="M74" s="26"/>
      <c r="N74" s="26"/>
      <c r="O74" s="26"/>
      <c r="P74" s="26"/>
      <c r="Q74" s="26"/>
      <c r="R74" s="26"/>
      <c r="S74" s="26"/>
      <c r="T74" s="26" t="s">
        <v>262</v>
      </c>
      <c r="U74" s="26"/>
      <c r="V74" s="26"/>
      <c r="W74" s="26"/>
      <c r="X74" s="26"/>
      <c r="Y74" s="26"/>
      <c r="Z74" s="26"/>
      <c r="AA74" s="26"/>
      <c r="AB74" s="26" t="s">
        <v>264</v>
      </c>
      <c r="AC74" s="26"/>
    </row>
    <row r="75" spans="1:32" ht="21" x14ac:dyDescent="0.35">
      <c r="E75" s="35" t="s">
        <v>257</v>
      </c>
      <c r="F75" s="35"/>
      <c r="G75" s="35"/>
      <c r="H75" s="35"/>
      <c r="M75" s="35" t="s">
        <v>257</v>
      </c>
      <c r="N75" s="35"/>
      <c r="O75" s="35"/>
      <c r="P75" s="35"/>
      <c r="U75" s="35" t="s">
        <v>257</v>
      </c>
      <c r="V75" s="35"/>
      <c r="W75" s="35"/>
      <c r="X75" s="35"/>
      <c r="AC75" s="35" t="s">
        <v>257</v>
      </c>
      <c r="AD75" s="35"/>
      <c r="AE75" s="35"/>
      <c r="AF75" s="35"/>
    </row>
    <row r="76" spans="1:32" ht="21" x14ac:dyDescent="0.35">
      <c r="A76" s="2"/>
      <c r="B76" s="2"/>
      <c r="C76" s="2" t="s">
        <v>256</v>
      </c>
      <c r="D76" s="2"/>
      <c r="E76" s="2">
        <v>4</v>
      </c>
      <c r="F76" s="2">
        <v>6</v>
      </c>
      <c r="G76" s="2">
        <v>8</v>
      </c>
      <c r="H76" s="2">
        <v>10</v>
      </c>
      <c r="I76" s="2"/>
      <c r="J76" s="2"/>
      <c r="K76" s="2"/>
      <c r="L76" s="2" t="s">
        <v>256</v>
      </c>
      <c r="M76" s="2">
        <v>4</v>
      </c>
      <c r="N76" s="2">
        <v>6</v>
      </c>
      <c r="O76" s="2">
        <v>8</v>
      </c>
      <c r="P76" s="2">
        <v>10</v>
      </c>
      <c r="Q76" s="2"/>
      <c r="R76" s="2"/>
      <c r="S76" s="2"/>
      <c r="T76" s="2" t="s">
        <v>256</v>
      </c>
      <c r="U76" s="2">
        <v>4</v>
      </c>
      <c r="V76" s="2">
        <v>6</v>
      </c>
      <c r="W76" s="2">
        <v>8</v>
      </c>
      <c r="X76" s="2">
        <v>10</v>
      </c>
      <c r="Y76" s="2"/>
      <c r="Z76" s="2"/>
      <c r="AA76" s="2"/>
      <c r="AB76" s="2" t="s">
        <v>256</v>
      </c>
      <c r="AC76" s="2">
        <v>4</v>
      </c>
      <c r="AD76" s="2">
        <v>6</v>
      </c>
      <c r="AE76" s="2">
        <v>8</v>
      </c>
      <c r="AF76" s="2">
        <v>10</v>
      </c>
    </row>
    <row r="77" spans="1:32" x14ac:dyDescent="0.25">
      <c r="C77">
        <v>1</v>
      </c>
      <c r="E77">
        <v>13</v>
      </c>
      <c r="F77">
        <v>15</v>
      </c>
      <c r="G77">
        <v>28</v>
      </c>
      <c r="L77">
        <v>1</v>
      </c>
      <c r="M77">
        <v>48</v>
      </c>
      <c r="N77">
        <v>21</v>
      </c>
      <c r="O77">
        <v>62</v>
      </c>
      <c r="T77">
        <v>1</v>
      </c>
      <c r="U77">
        <v>52</v>
      </c>
      <c r="V77">
        <v>20</v>
      </c>
      <c r="W77">
        <v>53</v>
      </c>
      <c r="AB77">
        <v>1</v>
      </c>
      <c r="AC77">
        <v>53</v>
      </c>
      <c r="AD77">
        <v>22</v>
      </c>
      <c r="AE77">
        <v>54</v>
      </c>
    </row>
    <row r="78" spans="1:32" x14ac:dyDescent="0.25">
      <c r="C78">
        <v>2</v>
      </c>
      <c r="L78">
        <v>2</v>
      </c>
      <c r="T78">
        <v>2</v>
      </c>
      <c r="AB78">
        <v>2</v>
      </c>
    </row>
    <row r="79" spans="1:32" x14ac:dyDescent="0.25">
      <c r="C79">
        <v>3</v>
      </c>
      <c r="E79">
        <v>29</v>
      </c>
      <c r="F79">
        <v>83</v>
      </c>
      <c r="G79">
        <v>138</v>
      </c>
      <c r="H79">
        <v>200</v>
      </c>
      <c r="L79">
        <v>3</v>
      </c>
      <c r="M79">
        <v>36</v>
      </c>
      <c r="N79">
        <v>112</v>
      </c>
      <c r="O79">
        <v>149</v>
      </c>
      <c r="T79">
        <v>3</v>
      </c>
      <c r="U79">
        <v>59</v>
      </c>
      <c r="V79">
        <v>114</v>
      </c>
      <c r="W79">
        <v>169</v>
      </c>
      <c r="AB79">
        <v>3</v>
      </c>
      <c r="AC79">
        <v>60</v>
      </c>
      <c r="AD79">
        <v>116</v>
      </c>
      <c r="AE79">
        <v>169</v>
      </c>
    </row>
    <row r="80" spans="1:32" x14ac:dyDescent="0.25">
      <c r="C80">
        <v>4</v>
      </c>
      <c r="E80">
        <v>21</v>
      </c>
      <c r="L80">
        <v>4</v>
      </c>
      <c r="M80">
        <v>22</v>
      </c>
      <c r="T80">
        <v>4</v>
      </c>
      <c r="U80">
        <v>34</v>
      </c>
      <c r="AB80">
        <v>4</v>
      </c>
      <c r="AC80">
        <v>35</v>
      </c>
    </row>
    <row r="81" spans="3:32" x14ac:dyDescent="0.25">
      <c r="C81">
        <v>5</v>
      </c>
      <c r="E81">
        <v>11</v>
      </c>
      <c r="F81">
        <v>121</v>
      </c>
      <c r="G81">
        <v>22</v>
      </c>
      <c r="H81">
        <v>134</v>
      </c>
      <c r="L81">
        <v>5</v>
      </c>
      <c r="M81">
        <v>13</v>
      </c>
      <c r="N81">
        <v>125</v>
      </c>
      <c r="O81">
        <v>45</v>
      </c>
      <c r="P81">
        <v>459</v>
      </c>
      <c r="T81">
        <v>5</v>
      </c>
      <c r="U81">
        <v>35</v>
      </c>
      <c r="V81">
        <v>246</v>
      </c>
      <c r="W81">
        <v>69</v>
      </c>
      <c r="X81">
        <v>498</v>
      </c>
      <c r="AB81">
        <v>5</v>
      </c>
      <c r="AC81">
        <v>36</v>
      </c>
      <c r="AD81">
        <v>246</v>
      </c>
      <c r="AE81">
        <v>69</v>
      </c>
      <c r="AF81">
        <v>211</v>
      </c>
    </row>
    <row r="82" spans="3:32" x14ac:dyDescent="0.25">
      <c r="C82">
        <v>6</v>
      </c>
      <c r="L82">
        <v>6</v>
      </c>
      <c r="T82">
        <v>6</v>
      </c>
      <c r="AB82">
        <v>6</v>
      </c>
    </row>
    <row r="83" spans="3:32" x14ac:dyDescent="0.25">
      <c r="C83">
        <v>7</v>
      </c>
      <c r="E83">
        <v>9</v>
      </c>
      <c r="L83">
        <v>7</v>
      </c>
      <c r="M83">
        <v>16</v>
      </c>
      <c r="T83">
        <v>7</v>
      </c>
      <c r="U83">
        <v>56</v>
      </c>
      <c r="AB83">
        <v>7</v>
      </c>
      <c r="AC83">
        <v>57</v>
      </c>
    </row>
    <row r="84" spans="3:32" x14ac:dyDescent="0.25">
      <c r="C84">
        <v>8</v>
      </c>
      <c r="E84">
        <v>20</v>
      </c>
      <c r="F84">
        <v>13</v>
      </c>
      <c r="G84">
        <v>36</v>
      </c>
      <c r="H84">
        <v>53</v>
      </c>
      <c r="L84">
        <v>8</v>
      </c>
      <c r="M84">
        <v>22</v>
      </c>
      <c r="N84">
        <v>20</v>
      </c>
      <c r="O84">
        <v>48</v>
      </c>
      <c r="P84">
        <v>99</v>
      </c>
      <c r="T84">
        <v>8</v>
      </c>
      <c r="U84">
        <v>38</v>
      </c>
      <c r="V84">
        <v>121</v>
      </c>
      <c r="W84">
        <v>60</v>
      </c>
      <c r="AB84">
        <v>8</v>
      </c>
      <c r="AC84">
        <v>40</v>
      </c>
      <c r="AD84">
        <v>121</v>
      </c>
      <c r="AE84">
        <v>61</v>
      </c>
    </row>
    <row r="85" spans="3:32" x14ac:dyDescent="0.25">
      <c r="C85">
        <v>9</v>
      </c>
      <c r="E85">
        <v>9</v>
      </c>
      <c r="L85">
        <v>9</v>
      </c>
      <c r="M85">
        <v>10</v>
      </c>
      <c r="T85">
        <v>9</v>
      </c>
      <c r="U85">
        <v>10</v>
      </c>
      <c r="AB85">
        <v>9</v>
      </c>
      <c r="AC85">
        <v>11</v>
      </c>
    </row>
    <row r="86" spans="3:32" x14ac:dyDescent="0.25">
      <c r="C86">
        <v>10</v>
      </c>
      <c r="L86">
        <v>10</v>
      </c>
      <c r="T86">
        <v>10</v>
      </c>
      <c r="AB86">
        <v>10</v>
      </c>
    </row>
    <row r="87" spans="3:32" x14ac:dyDescent="0.25">
      <c r="C87">
        <v>11</v>
      </c>
      <c r="L87">
        <v>11</v>
      </c>
      <c r="T87">
        <v>11</v>
      </c>
      <c r="AB87">
        <v>11</v>
      </c>
    </row>
    <row r="88" spans="3:32" x14ac:dyDescent="0.25">
      <c r="C88">
        <v>12</v>
      </c>
      <c r="E88">
        <v>10</v>
      </c>
      <c r="F88">
        <v>36</v>
      </c>
      <c r="G88">
        <v>47</v>
      </c>
      <c r="L88">
        <v>12</v>
      </c>
      <c r="M88">
        <v>16</v>
      </c>
      <c r="N88">
        <v>38</v>
      </c>
      <c r="O88">
        <v>57</v>
      </c>
      <c r="T88">
        <v>12</v>
      </c>
      <c r="U88">
        <v>26</v>
      </c>
      <c r="V88">
        <v>87</v>
      </c>
      <c r="W88">
        <v>174</v>
      </c>
      <c r="AB88">
        <v>12</v>
      </c>
      <c r="AC88">
        <v>26</v>
      </c>
      <c r="AD88">
        <v>88</v>
      </c>
      <c r="AE88">
        <v>175</v>
      </c>
    </row>
    <row r="89" spans="3:32" x14ac:dyDescent="0.25">
      <c r="C89">
        <v>13</v>
      </c>
      <c r="F89">
        <v>20</v>
      </c>
      <c r="G89">
        <v>19</v>
      </c>
      <c r="L89">
        <v>13</v>
      </c>
      <c r="N89">
        <v>34</v>
      </c>
      <c r="O89">
        <v>28</v>
      </c>
      <c r="T89">
        <v>13</v>
      </c>
      <c r="V89">
        <v>69</v>
      </c>
      <c r="W89">
        <v>120</v>
      </c>
      <c r="AB89">
        <v>13</v>
      </c>
      <c r="AD89">
        <v>70</v>
      </c>
      <c r="AE89">
        <v>120</v>
      </c>
    </row>
    <row r="90" spans="3:32" x14ac:dyDescent="0.25">
      <c r="C90">
        <v>14</v>
      </c>
      <c r="E90">
        <v>5</v>
      </c>
      <c r="F90">
        <v>8</v>
      </c>
      <c r="G90">
        <v>154</v>
      </c>
      <c r="H90">
        <v>110</v>
      </c>
      <c r="L90">
        <v>14</v>
      </c>
      <c r="M90">
        <v>8</v>
      </c>
      <c r="N90">
        <v>34</v>
      </c>
      <c r="O90">
        <v>163</v>
      </c>
      <c r="P90">
        <v>225</v>
      </c>
      <c r="T90">
        <v>14</v>
      </c>
      <c r="U90">
        <v>9</v>
      </c>
      <c r="V90">
        <v>43</v>
      </c>
      <c r="W90">
        <v>391</v>
      </c>
      <c r="X90">
        <v>244</v>
      </c>
      <c r="AB90">
        <v>14</v>
      </c>
      <c r="AC90">
        <v>10</v>
      </c>
      <c r="AD90">
        <v>44</v>
      </c>
      <c r="AE90">
        <v>515</v>
      </c>
      <c r="AF90">
        <v>233</v>
      </c>
    </row>
    <row r="91" spans="3:32" x14ac:dyDescent="0.25">
      <c r="C91">
        <v>15</v>
      </c>
      <c r="E91">
        <v>5</v>
      </c>
      <c r="F91">
        <v>10</v>
      </c>
      <c r="G91">
        <v>25</v>
      </c>
      <c r="H91">
        <v>26</v>
      </c>
      <c r="L91">
        <v>15</v>
      </c>
      <c r="M91">
        <v>6</v>
      </c>
      <c r="N91">
        <v>12</v>
      </c>
      <c r="O91">
        <v>53</v>
      </c>
      <c r="P91">
        <v>70</v>
      </c>
      <c r="T91">
        <v>15</v>
      </c>
      <c r="U91">
        <v>20</v>
      </c>
      <c r="V91">
        <v>89</v>
      </c>
      <c r="W91">
        <v>442</v>
      </c>
      <c r="X91">
        <v>394</v>
      </c>
      <c r="AB91">
        <v>15</v>
      </c>
      <c r="AC91">
        <v>21</v>
      </c>
      <c r="AD91">
        <v>90</v>
      </c>
      <c r="AE91">
        <v>442</v>
      </c>
      <c r="AF91">
        <v>395</v>
      </c>
    </row>
    <row r="92" spans="3:32" x14ac:dyDescent="0.25">
      <c r="C92">
        <v>16</v>
      </c>
      <c r="E92">
        <v>15</v>
      </c>
      <c r="H92">
        <v>18</v>
      </c>
      <c r="L92">
        <v>16</v>
      </c>
      <c r="M92">
        <v>20</v>
      </c>
      <c r="P92">
        <v>41</v>
      </c>
      <c r="T92">
        <v>16</v>
      </c>
      <c r="U92">
        <v>52</v>
      </c>
      <c r="X92">
        <v>271</v>
      </c>
      <c r="AB92">
        <v>16</v>
      </c>
      <c r="AC92">
        <v>53</v>
      </c>
      <c r="AF92">
        <v>203</v>
      </c>
    </row>
    <row r="93" spans="3:32" x14ac:dyDescent="0.25">
      <c r="C93">
        <v>17</v>
      </c>
      <c r="E93">
        <v>23</v>
      </c>
      <c r="F93">
        <v>20</v>
      </c>
      <c r="G93">
        <v>414</v>
      </c>
      <c r="L93">
        <v>17</v>
      </c>
      <c r="M93">
        <v>25</v>
      </c>
      <c r="N93">
        <v>22</v>
      </c>
      <c r="T93">
        <v>17</v>
      </c>
      <c r="U93">
        <v>27</v>
      </c>
      <c r="V93">
        <v>54</v>
      </c>
      <c r="AB93">
        <v>17</v>
      </c>
      <c r="AC93">
        <v>28</v>
      </c>
      <c r="AD93">
        <v>55</v>
      </c>
    </row>
    <row r="94" spans="3:32" x14ac:dyDescent="0.25">
      <c r="C94">
        <v>18</v>
      </c>
      <c r="F94">
        <v>6</v>
      </c>
      <c r="L94">
        <v>18</v>
      </c>
      <c r="N94">
        <v>11</v>
      </c>
      <c r="T94">
        <v>18</v>
      </c>
      <c r="V94">
        <v>20</v>
      </c>
      <c r="AB94">
        <v>18</v>
      </c>
      <c r="AD94">
        <v>21</v>
      </c>
    </row>
    <row r="95" spans="3:32" x14ac:dyDescent="0.25">
      <c r="C95">
        <v>19</v>
      </c>
      <c r="E95">
        <v>17</v>
      </c>
      <c r="F95">
        <v>9</v>
      </c>
      <c r="G95">
        <v>14</v>
      </c>
      <c r="L95">
        <v>19</v>
      </c>
      <c r="M95">
        <v>18</v>
      </c>
      <c r="N95">
        <v>12</v>
      </c>
      <c r="O95">
        <v>23</v>
      </c>
      <c r="T95">
        <v>19</v>
      </c>
      <c r="U95">
        <v>260</v>
      </c>
      <c r="V95">
        <v>94</v>
      </c>
      <c r="W95">
        <v>71</v>
      </c>
      <c r="AB95">
        <v>19</v>
      </c>
      <c r="AC95">
        <v>261</v>
      </c>
      <c r="AD95">
        <v>95</v>
      </c>
      <c r="AE95">
        <v>306</v>
      </c>
    </row>
    <row r="96" spans="3:32" x14ac:dyDescent="0.25">
      <c r="C96">
        <v>20</v>
      </c>
      <c r="E96">
        <v>29</v>
      </c>
      <c r="F96">
        <v>33</v>
      </c>
      <c r="G96">
        <v>125</v>
      </c>
      <c r="H96">
        <v>13</v>
      </c>
      <c r="L96">
        <v>20</v>
      </c>
      <c r="M96">
        <v>30</v>
      </c>
      <c r="N96">
        <v>34</v>
      </c>
      <c r="O96">
        <v>134</v>
      </c>
      <c r="P96">
        <v>31</v>
      </c>
      <c r="T96">
        <v>20</v>
      </c>
      <c r="U96">
        <v>68</v>
      </c>
      <c r="V96">
        <v>144</v>
      </c>
      <c r="X96">
        <v>102</v>
      </c>
      <c r="AB96">
        <v>20</v>
      </c>
      <c r="AC96">
        <v>70</v>
      </c>
      <c r="AD96">
        <v>145</v>
      </c>
      <c r="AF96">
        <v>82</v>
      </c>
    </row>
    <row r="97" spans="3:32" x14ac:dyDescent="0.25">
      <c r="C97">
        <v>21</v>
      </c>
      <c r="E97">
        <v>27</v>
      </c>
      <c r="G97">
        <v>40</v>
      </c>
      <c r="L97">
        <v>21</v>
      </c>
      <c r="M97">
        <v>29</v>
      </c>
      <c r="O97">
        <v>54</v>
      </c>
      <c r="T97">
        <v>21</v>
      </c>
      <c r="U97">
        <v>37</v>
      </c>
      <c r="W97">
        <v>184</v>
      </c>
      <c r="AB97">
        <v>21</v>
      </c>
      <c r="AC97">
        <v>38</v>
      </c>
      <c r="AE97">
        <v>185</v>
      </c>
    </row>
    <row r="98" spans="3:32" x14ac:dyDescent="0.25">
      <c r="C98">
        <v>22</v>
      </c>
      <c r="E98">
        <v>28</v>
      </c>
      <c r="F98">
        <v>10</v>
      </c>
      <c r="L98">
        <v>22</v>
      </c>
      <c r="M98">
        <v>30</v>
      </c>
      <c r="N98">
        <v>17</v>
      </c>
      <c r="T98">
        <v>22</v>
      </c>
      <c r="U98">
        <v>32</v>
      </c>
      <c r="V98">
        <v>80</v>
      </c>
      <c r="AB98">
        <v>22</v>
      </c>
      <c r="AC98">
        <v>34</v>
      </c>
      <c r="AD98">
        <v>81</v>
      </c>
    </row>
    <row r="99" spans="3:32" x14ac:dyDescent="0.25">
      <c r="C99">
        <v>23</v>
      </c>
      <c r="F99">
        <v>194</v>
      </c>
      <c r="G99">
        <v>10</v>
      </c>
      <c r="H99">
        <v>45</v>
      </c>
      <c r="L99">
        <v>23</v>
      </c>
      <c r="N99">
        <v>250</v>
      </c>
      <c r="O99">
        <v>11</v>
      </c>
      <c r="P99">
        <v>49</v>
      </c>
      <c r="T99">
        <v>23</v>
      </c>
      <c r="V99">
        <v>324</v>
      </c>
      <c r="W99">
        <v>52</v>
      </c>
      <c r="AB99">
        <v>23</v>
      </c>
      <c r="AD99">
        <v>325</v>
      </c>
      <c r="AE99">
        <v>53</v>
      </c>
    </row>
    <row r="100" spans="3:32" x14ac:dyDescent="0.25">
      <c r="C100">
        <v>24</v>
      </c>
      <c r="L100">
        <v>24</v>
      </c>
      <c r="T100">
        <v>24</v>
      </c>
      <c r="AB100">
        <v>24</v>
      </c>
    </row>
    <row r="101" spans="3:32" x14ac:dyDescent="0.25">
      <c r="C101">
        <v>25</v>
      </c>
      <c r="E101">
        <v>13</v>
      </c>
      <c r="L101">
        <v>25</v>
      </c>
      <c r="M101">
        <v>18</v>
      </c>
      <c r="T101">
        <v>25</v>
      </c>
      <c r="U101">
        <v>19</v>
      </c>
      <c r="AB101">
        <v>25</v>
      </c>
      <c r="AC101">
        <v>20</v>
      </c>
    </row>
    <row r="102" spans="3:32" x14ac:dyDescent="0.25">
      <c r="C102">
        <v>26</v>
      </c>
      <c r="E102">
        <v>9</v>
      </c>
      <c r="F102">
        <v>24</v>
      </c>
      <c r="G102">
        <v>29</v>
      </c>
      <c r="H102">
        <v>17</v>
      </c>
      <c r="L102">
        <v>26</v>
      </c>
      <c r="M102">
        <v>15</v>
      </c>
      <c r="N102">
        <v>28</v>
      </c>
      <c r="O102">
        <v>55</v>
      </c>
      <c r="P102">
        <v>19</v>
      </c>
      <c r="T102">
        <v>26</v>
      </c>
      <c r="U102">
        <v>21</v>
      </c>
      <c r="V102">
        <v>76</v>
      </c>
      <c r="W102">
        <v>259</v>
      </c>
      <c r="X102">
        <v>136</v>
      </c>
      <c r="AB102">
        <v>26</v>
      </c>
      <c r="AC102">
        <v>23</v>
      </c>
      <c r="AD102">
        <v>157</v>
      </c>
      <c r="AE102">
        <v>259</v>
      </c>
      <c r="AF102">
        <v>86</v>
      </c>
    </row>
    <row r="103" spans="3:32" x14ac:dyDescent="0.25">
      <c r="C103">
        <v>27</v>
      </c>
      <c r="E103">
        <v>11</v>
      </c>
      <c r="F103">
        <v>43</v>
      </c>
      <c r="G103">
        <v>44</v>
      </c>
      <c r="L103">
        <v>27</v>
      </c>
      <c r="M103">
        <v>12</v>
      </c>
      <c r="N103">
        <v>45</v>
      </c>
      <c r="O103">
        <v>92</v>
      </c>
      <c r="T103">
        <v>27</v>
      </c>
      <c r="U103">
        <v>65</v>
      </c>
      <c r="V103">
        <v>131</v>
      </c>
      <c r="W103">
        <v>178</v>
      </c>
      <c r="AB103">
        <v>27</v>
      </c>
      <c r="AC103">
        <v>66</v>
      </c>
      <c r="AD103">
        <v>131</v>
      </c>
      <c r="AE103">
        <v>179</v>
      </c>
    </row>
    <row r="104" spans="3:32" x14ac:dyDescent="0.25">
      <c r="C104">
        <v>28</v>
      </c>
      <c r="E104">
        <v>15</v>
      </c>
      <c r="G104">
        <v>45</v>
      </c>
      <c r="H104">
        <v>13</v>
      </c>
      <c r="L104">
        <v>28</v>
      </c>
      <c r="M104">
        <v>20</v>
      </c>
      <c r="O104">
        <v>69</v>
      </c>
      <c r="P104">
        <v>18</v>
      </c>
      <c r="T104">
        <v>28</v>
      </c>
      <c r="U104">
        <v>22</v>
      </c>
      <c r="W104">
        <v>105</v>
      </c>
      <c r="X104">
        <v>171</v>
      </c>
      <c r="AB104">
        <v>28</v>
      </c>
      <c r="AC104">
        <v>23</v>
      </c>
      <c r="AE104">
        <v>105</v>
      </c>
      <c r="AF104">
        <v>68</v>
      </c>
    </row>
    <row r="105" spans="3:32" x14ac:dyDescent="0.25">
      <c r="C105">
        <v>29</v>
      </c>
      <c r="L105">
        <v>29</v>
      </c>
      <c r="T105">
        <v>29</v>
      </c>
      <c r="AB105">
        <v>29</v>
      </c>
    </row>
    <row r="106" spans="3:32" x14ac:dyDescent="0.25">
      <c r="C106">
        <v>30</v>
      </c>
      <c r="F106">
        <v>14</v>
      </c>
      <c r="L106">
        <v>30</v>
      </c>
      <c r="N106">
        <v>21</v>
      </c>
      <c r="T106">
        <v>30</v>
      </c>
      <c r="V106">
        <v>31</v>
      </c>
      <c r="AB106">
        <v>30</v>
      </c>
      <c r="AD106">
        <v>32</v>
      </c>
    </row>
    <row r="107" spans="3:32" x14ac:dyDescent="0.25">
      <c r="C107">
        <v>31</v>
      </c>
      <c r="L107">
        <v>31</v>
      </c>
      <c r="T107">
        <v>31</v>
      </c>
      <c r="AB107">
        <v>31</v>
      </c>
    </row>
    <row r="108" spans="3:32" x14ac:dyDescent="0.25">
      <c r="C108">
        <v>32</v>
      </c>
      <c r="E108">
        <v>12</v>
      </c>
      <c r="F108">
        <v>120</v>
      </c>
      <c r="G108">
        <v>46</v>
      </c>
      <c r="H108">
        <v>15</v>
      </c>
      <c r="L108">
        <v>32</v>
      </c>
      <c r="M108">
        <v>13</v>
      </c>
      <c r="N108">
        <v>141</v>
      </c>
      <c r="O108">
        <v>48</v>
      </c>
      <c r="T108">
        <v>32</v>
      </c>
      <c r="U108">
        <v>31</v>
      </c>
      <c r="V108">
        <v>146</v>
      </c>
      <c r="W108">
        <v>445</v>
      </c>
      <c r="AB108">
        <v>32</v>
      </c>
      <c r="AC108">
        <v>34</v>
      </c>
      <c r="AD108">
        <v>146</v>
      </c>
      <c r="AE108">
        <v>446</v>
      </c>
    </row>
    <row r="109" spans="3:32" x14ac:dyDescent="0.25">
      <c r="C109">
        <v>33</v>
      </c>
      <c r="E109">
        <v>12</v>
      </c>
      <c r="F109">
        <v>13</v>
      </c>
      <c r="G109">
        <v>22</v>
      </c>
      <c r="L109">
        <v>33</v>
      </c>
      <c r="M109">
        <v>17</v>
      </c>
      <c r="N109">
        <v>27</v>
      </c>
      <c r="O109">
        <v>49</v>
      </c>
      <c r="T109">
        <v>33</v>
      </c>
      <c r="U109">
        <v>20</v>
      </c>
      <c r="V109">
        <v>29</v>
      </c>
      <c r="W109">
        <v>137</v>
      </c>
      <c r="AB109">
        <v>33</v>
      </c>
      <c r="AC109">
        <v>21</v>
      </c>
      <c r="AD109">
        <v>30</v>
      </c>
      <c r="AE109">
        <v>244</v>
      </c>
    </row>
    <row r="110" spans="3:32" x14ac:dyDescent="0.25">
      <c r="C110">
        <v>34</v>
      </c>
      <c r="L110">
        <v>34</v>
      </c>
      <c r="T110">
        <v>34</v>
      </c>
      <c r="AB110">
        <v>34</v>
      </c>
    </row>
    <row r="111" spans="3:32" x14ac:dyDescent="0.25">
      <c r="C111">
        <v>35</v>
      </c>
      <c r="L111">
        <v>35</v>
      </c>
      <c r="T111">
        <v>35</v>
      </c>
      <c r="AB111">
        <v>35</v>
      </c>
    </row>
    <row r="112" spans="3:32" x14ac:dyDescent="0.25">
      <c r="C112">
        <v>36</v>
      </c>
      <c r="E112">
        <v>8</v>
      </c>
      <c r="F112">
        <v>12</v>
      </c>
      <c r="G112">
        <v>14</v>
      </c>
      <c r="H112">
        <v>10</v>
      </c>
      <c r="L112">
        <v>36</v>
      </c>
      <c r="M112">
        <v>19</v>
      </c>
      <c r="N112">
        <v>25</v>
      </c>
      <c r="O112">
        <v>15</v>
      </c>
      <c r="P112">
        <v>15</v>
      </c>
      <c r="T112">
        <v>36</v>
      </c>
      <c r="U112">
        <v>27</v>
      </c>
      <c r="V112">
        <v>46</v>
      </c>
      <c r="W112">
        <v>74</v>
      </c>
      <c r="X112">
        <v>143</v>
      </c>
      <c r="AB112">
        <v>36</v>
      </c>
      <c r="AC112">
        <v>28</v>
      </c>
      <c r="AD112">
        <v>47</v>
      </c>
      <c r="AE112">
        <v>75</v>
      </c>
      <c r="AF112">
        <v>124</v>
      </c>
    </row>
    <row r="113" spans="3:32" x14ac:dyDescent="0.25">
      <c r="C113">
        <v>37</v>
      </c>
      <c r="E113">
        <v>23</v>
      </c>
      <c r="G113">
        <v>10</v>
      </c>
      <c r="H113">
        <v>54</v>
      </c>
      <c r="L113">
        <v>37</v>
      </c>
      <c r="M113">
        <v>26</v>
      </c>
      <c r="O113">
        <v>11</v>
      </c>
      <c r="P113">
        <v>170</v>
      </c>
      <c r="T113">
        <v>37</v>
      </c>
      <c r="U113">
        <v>56</v>
      </c>
      <c r="W113">
        <v>35</v>
      </c>
      <c r="AB113">
        <v>37</v>
      </c>
      <c r="AC113">
        <v>58</v>
      </c>
      <c r="AE113">
        <v>35</v>
      </c>
    </row>
    <row r="114" spans="3:32" x14ac:dyDescent="0.25">
      <c r="C114">
        <v>38</v>
      </c>
      <c r="F114">
        <v>9</v>
      </c>
      <c r="H114">
        <v>9</v>
      </c>
      <c r="L114">
        <v>38</v>
      </c>
      <c r="N114">
        <v>11</v>
      </c>
      <c r="P114">
        <v>115</v>
      </c>
      <c r="T114">
        <v>38</v>
      </c>
      <c r="V114">
        <v>63</v>
      </c>
      <c r="AB114">
        <v>38</v>
      </c>
      <c r="AD114">
        <v>63</v>
      </c>
    </row>
    <row r="115" spans="3:32" x14ac:dyDescent="0.25">
      <c r="C115">
        <v>39</v>
      </c>
      <c r="E115">
        <v>34</v>
      </c>
      <c r="F115">
        <v>51</v>
      </c>
      <c r="G115">
        <v>45</v>
      </c>
      <c r="L115">
        <v>39</v>
      </c>
      <c r="M115">
        <v>38</v>
      </c>
      <c r="N115">
        <v>65</v>
      </c>
      <c r="O115">
        <v>55</v>
      </c>
      <c r="T115">
        <v>39</v>
      </c>
      <c r="U115">
        <v>48</v>
      </c>
      <c r="V115">
        <v>87</v>
      </c>
      <c r="W115">
        <v>156</v>
      </c>
      <c r="AB115">
        <v>39</v>
      </c>
      <c r="AC115">
        <v>49</v>
      </c>
      <c r="AD115">
        <v>88</v>
      </c>
      <c r="AE115">
        <v>156</v>
      </c>
    </row>
    <row r="116" spans="3:32" x14ac:dyDescent="0.25">
      <c r="C116">
        <v>40</v>
      </c>
      <c r="E116">
        <v>8</v>
      </c>
      <c r="F116">
        <v>22</v>
      </c>
      <c r="G116">
        <v>56</v>
      </c>
      <c r="H116">
        <v>432</v>
      </c>
      <c r="L116">
        <v>40</v>
      </c>
      <c r="M116">
        <v>12</v>
      </c>
      <c r="N116">
        <v>26</v>
      </c>
      <c r="O116">
        <v>62</v>
      </c>
      <c r="T116">
        <v>40</v>
      </c>
      <c r="U116">
        <v>28</v>
      </c>
      <c r="V116">
        <v>82</v>
      </c>
      <c r="W116">
        <v>188</v>
      </c>
      <c r="AB116">
        <v>40</v>
      </c>
      <c r="AC116">
        <v>28</v>
      </c>
      <c r="AD116">
        <v>83</v>
      </c>
      <c r="AE116">
        <v>189</v>
      </c>
    </row>
    <row r="117" spans="3:32" x14ac:dyDescent="0.25">
      <c r="C117">
        <v>41</v>
      </c>
      <c r="E117">
        <v>48</v>
      </c>
      <c r="L117">
        <v>41</v>
      </c>
      <c r="M117">
        <v>55</v>
      </c>
      <c r="T117">
        <v>41</v>
      </c>
      <c r="U117">
        <v>78</v>
      </c>
      <c r="AB117">
        <v>41</v>
      </c>
      <c r="AC117">
        <v>79</v>
      </c>
    </row>
    <row r="118" spans="3:32" x14ac:dyDescent="0.25">
      <c r="C118">
        <v>42</v>
      </c>
      <c r="E118">
        <v>9</v>
      </c>
      <c r="F118">
        <v>18</v>
      </c>
      <c r="L118">
        <v>42</v>
      </c>
      <c r="M118">
        <v>11</v>
      </c>
      <c r="N118">
        <v>23</v>
      </c>
      <c r="T118">
        <v>42</v>
      </c>
      <c r="U118">
        <v>18</v>
      </c>
      <c r="V118">
        <v>29</v>
      </c>
      <c r="AB118">
        <v>42</v>
      </c>
      <c r="AC118">
        <v>21</v>
      </c>
      <c r="AD118">
        <v>29</v>
      </c>
    </row>
    <row r="119" spans="3:32" x14ac:dyDescent="0.25">
      <c r="C119">
        <v>43</v>
      </c>
      <c r="G119">
        <v>24</v>
      </c>
      <c r="L119">
        <v>43</v>
      </c>
      <c r="O119">
        <v>30</v>
      </c>
      <c r="T119">
        <v>43</v>
      </c>
      <c r="W119">
        <v>77</v>
      </c>
      <c r="AB119">
        <v>43</v>
      </c>
      <c r="AE119">
        <v>101</v>
      </c>
    </row>
    <row r="120" spans="3:32" x14ac:dyDescent="0.25">
      <c r="C120">
        <v>44</v>
      </c>
      <c r="E120">
        <v>38</v>
      </c>
      <c r="F120">
        <v>10</v>
      </c>
      <c r="G120">
        <v>52</v>
      </c>
      <c r="H120">
        <v>112</v>
      </c>
      <c r="L120">
        <v>44</v>
      </c>
      <c r="M120">
        <v>42</v>
      </c>
      <c r="N120">
        <v>36</v>
      </c>
      <c r="O120">
        <v>81</v>
      </c>
      <c r="P120">
        <v>129</v>
      </c>
      <c r="T120">
        <v>44</v>
      </c>
      <c r="U120">
        <v>55</v>
      </c>
      <c r="V120">
        <v>38</v>
      </c>
      <c r="W120">
        <v>274</v>
      </c>
      <c r="X120">
        <v>506</v>
      </c>
      <c r="AB120">
        <v>44</v>
      </c>
      <c r="AC120">
        <v>56</v>
      </c>
      <c r="AD120">
        <v>39</v>
      </c>
      <c r="AE120">
        <v>274</v>
      </c>
      <c r="AF120">
        <v>509</v>
      </c>
    </row>
    <row r="121" spans="3:32" x14ac:dyDescent="0.25">
      <c r="C121">
        <v>45</v>
      </c>
      <c r="E121">
        <v>9</v>
      </c>
      <c r="F121">
        <v>8</v>
      </c>
      <c r="G121">
        <v>83</v>
      </c>
      <c r="L121">
        <v>45</v>
      </c>
      <c r="M121">
        <v>25</v>
      </c>
      <c r="N121">
        <v>15</v>
      </c>
      <c r="O121">
        <v>104</v>
      </c>
      <c r="T121">
        <v>45</v>
      </c>
      <c r="U121">
        <v>81</v>
      </c>
      <c r="V121">
        <v>72</v>
      </c>
      <c r="W121">
        <v>190</v>
      </c>
      <c r="AB121">
        <v>45</v>
      </c>
      <c r="AC121">
        <v>82</v>
      </c>
      <c r="AD121">
        <v>73</v>
      </c>
      <c r="AE121">
        <v>216</v>
      </c>
    </row>
    <row r="122" spans="3:32" x14ac:dyDescent="0.25">
      <c r="C122">
        <v>47</v>
      </c>
      <c r="E122">
        <v>18</v>
      </c>
      <c r="F122">
        <v>14</v>
      </c>
      <c r="G122">
        <v>11</v>
      </c>
      <c r="L122">
        <v>47</v>
      </c>
      <c r="M122">
        <v>26</v>
      </c>
      <c r="N122">
        <v>30</v>
      </c>
      <c r="O122">
        <v>16</v>
      </c>
      <c r="T122">
        <v>47</v>
      </c>
      <c r="U122">
        <v>88</v>
      </c>
      <c r="V122">
        <v>51</v>
      </c>
      <c r="W122">
        <v>441</v>
      </c>
      <c r="AB122">
        <v>47</v>
      </c>
      <c r="AC122">
        <v>89</v>
      </c>
      <c r="AD122">
        <v>52</v>
      </c>
      <c r="AE122">
        <v>441</v>
      </c>
    </row>
    <row r="123" spans="3:32" x14ac:dyDescent="0.25">
      <c r="C123">
        <v>48</v>
      </c>
      <c r="E123">
        <v>9</v>
      </c>
      <c r="F123">
        <v>27</v>
      </c>
      <c r="G123">
        <v>12</v>
      </c>
      <c r="L123">
        <v>48</v>
      </c>
      <c r="M123">
        <v>13</v>
      </c>
      <c r="N123">
        <v>28</v>
      </c>
      <c r="O123">
        <v>48</v>
      </c>
      <c r="T123">
        <v>48</v>
      </c>
      <c r="U123">
        <v>44</v>
      </c>
      <c r="V123">
        <v>73</v>
      </c>
      <c r="W123">
        <v>411</v>
      </c>
      <c r="AB123">
        <v>48</v>
      </c>
      <c r="AC123">
        <v>44</v>
      </c>
      <c r="AD123">
        <v>74</v>
      </c>
      <c r="AE123">
        <v>418</v>
      </c>
    </row>
    <row r="124" spans="3:32" x14ac:dyDescent="0.25">
      <c r="C124">
        <v>49</v>
      </c>
      <c r="L124">
        <v>49</v>
      </c>
      <c r="T124">
        <v>49</v>
      </c>
      <c r="AB124">
        <v>49</v>
      </c>
    </row>
    <row r="125" spans="3:32" x14ac:dyDescent="0.25">
      <c r="C125">
        <v>50</v>
      </c>
      <c r="E125">
        <v>46</v>
      </c>
      <c r="F125">
        <v>10</v>
      </c>
      <c r="G125">
        <v>27</v>
      </c>
      <c r="L125">
        <v>50</v>
      </c>
      <c r="M125">
        <v>47</v>
      </c>
      <c r="N125">
        <v>12</v>
      </c>
      <c r="O125">
        <v>29</v>
      </c>
      <c r="T125">
        <v>50</v>
      </c>
      <c r="U125">
        <v>99</v>
      </c>
      <c r="V125">
        <v>168</v>
      </c>
      <c r="AB125">
        <v>50</v>
      </c>
      <c r="AC125">
        <v>100</v>
      </c>
      <c r="AD125">
        <v>169</v>
      </c>
    </row>
    <row r="126" spans="3:32" x14ac:dyDescent="0.25">
      <c r="C126">
        <v>51</v>
      </c>
      <c r="E126">
        <v>61</v>
      </c>
      <c r="F126">
        <v>28</v>
      </c>
      <c r="H126">
        <v>88</v>
      </c>
      <c r="L126">
        <v>51</v>
      </c>
      <c r="M126">
        <v>63</v>
      </c>
      <c r="N126">
        <v>30</v>
      </c>
      <c r="P126">
        <v>101</v>
      </c>
      <c r="T126">
        <v>51</v>
      </c>
      <c r="U126">
        <v>89</v>
      </c>
      <c r="V126">
        <v>80</v>
      </c>
      <c r="AB126">
        <v>51</v>
      </c>
      <c r="AC126">
        <v>90</v>
      </c>
      <c r="AD126">
        <v>80</v>
      </c>
    </row>
    <row r="127" spans="3:32" x14ac:dyDescent="0.25">
      <c r="C127">
        <v>52</v>
      </c>
      <c r="E127">
        <v>90</v>
      </c>
      <c r="F127">
        <v>30</v>
      </c>
      <c r="L127">
        <v>52</v>
      </c>
      <c r="M127">
        <v>96</v>
      </c>
      <c r="N127">
        <v>49</v>
      </c>
      <c r="T127">
        <v>52</v>
      </c>
      <c r="U127">
        <v>97</v>
      </c>
      <c r="V127">
        <v>245</v>
      </c>
      <c r="AB127">
        <v>52</v>
      </c>
      <c r="AC127">
        <v>97</v>
      </c>
      <c r="AD127">
        <v>246</v>
      </c>
    </row>
    <row r="128" spans="3:32" x14ac:dyDescent="0.25">
      <c r="C128">
        <v>53</v>
      </c>
      <c r="E128">
        <v>4</v>
      </c>
      <c r="F128">
        <v>15</v>
      </c>
      <c r="L128">
        <v>53</v>
      </c>
      <c r="M128">
        <v>5</v>
      </c>
      <c r="N128">
        <v>16</v>
      </c>
      <c r="T128">
        <v>53</v>
      </c>
      <c r="U128">
        <v>23</v>
      </c>
      <c r="V128">
        <v>49</v>
      </c>
      <c r="AB128">
        <v>53</v>
      </c>
      <c r="AC128">
        <v>24</v>
      </c>
      <c r="AD128">
        <v>50</v>
      </c>
    </row>
    <row r="129" spans="3:32" x14ac:dyDescent="0.25">
      <c r="C129">
        <v>54</v>
      </c>
      <c r="G129">
        <v>28</v>
      </c>
      <c r="L129">
        <v>54</v>
      </c>
      <c r="O129">
        <v>38</v>
      </c>
      <c r="T129">
        <v>54</v>
      </c>
      <c r="W129">
        <v>97</v>
      </c>
      <c r="AB129">
        <v>54</v>
      </c>
      <c r="AE129">
        <v>98</v>
      </c>
    </row>
    <row r="130" spans="3:32" x14ac:dyDescent="0.25">
      <c r="C130">
        <v>55</v>
      </c>
      <c r="L130">
        <v>55</v>
      </c>
      <c r="T130">
        <v>55</v>
      </c>
      <c r="AB130">
        <v>55</v>
      </c>
    </row>
    <row r="131" spans="3:32" x14ac:dyDescent="0.25">
      <c r="C131">
        <v>56</v>
      </c>
      <c r="E131">
        <v>46</v>
      </c>
      <c r="F131">
        <v>12</v>
      </c>
      <c r="G131">
        <v>86</v>
      </c>
      <c r="L131">
        <v>56</v>
      </c>
      <c r="M131">
        <v>61</v>
      </c>
      <c r="N131">
        <v>19</v>
      </c>
      <c r="O131">
        <v>91</v>
      </c>
      <c r="T131">
        <v>56</v>
      </c>
      <c r="U131">
        <v>62</v>
      </c>
      <c r="V131">
        <v>72</v>
      </c>
      <c r="W131">
        <v>125</v>
      </c>
      <c r="AB131">
        <v>56</v>
      </c>
      <c r="AC131">
        <v>63</v>
      </c>
      <c r="AD131">
        <v>72</v>
      </c>
      <c r="AE131">
        <v>156</v>
      </c>
    </row>
    <row r="132" spans="3:32" x14ac:dyDescent="0.25">
      <c r="C132">
        <v>57</v>
      </c>
      <c r="E132">
        <v>82</v>
      </c>
      <c r="F132">
        <v>19</v>
      </c>
      <c r="H132">
        <v>13</v>
      </c>
      <c r="L132">
        <v>57</v>
      </c>
      <c r="M132">
        <v>102</v>
      </c>
      <c r="N132">
        <v>25</v>
      </c>
      <c r="P132">
        <v>44</v>
      </c>
      <c r="T132">
        <v>57</v>
      </c>
      <c r="U132">
        <v>125</v>
      </c>
      <c r="V132">
        <v>73</v>
      </c>
      <c r="X132">
        <v>71</v>
      </c>
      <c r="AB132">
        <v>57</v>
      </c>
      <c r="AC132">
        <v>126</v>
      </c>
      <c r="AD132">
        <v>74</v>
      </c>
      <c r="AF132">
        <v>71</v>
      </c>
    </row>
    <row r="133" spans="3:32" x14ac:dyDescent="0.25">
      <c r="C133">
        <v>58</v>
      </c>
      <c r="E133">
        <v>15</v>
      </c>
      <c r="G133">
        <v>59</v>
      </c>
      <c r="H133">
        <v>168</v>
      </c>
      <c r="L133">
        <v>58</v>
      </c>
      <c r="M133">
        <v>16</v>
      </c>
      <c r="O133">
        <v>67</v>
      </c>
      <c r="T133">
        <v>58</v>
      </c>
      <c r="U133">
        <v>25</v>
      </c>
      <c r="W133">
        <v>205</v>
      </c>
      <c r="AB133">
        <v>58</v>
      </c>
      <c r="AC133">
        <v>85</v>
      </c>
      <c r="AE133">
        <v>243</v>
      </c>
    </row>
    <row r="134" spans="3:32" x14ac:dyDescent="0.25">
      <c r="C134">
        <v>59</v>
      </c>
      <c r="F134">
        <v>73</v>
      </c>
      <c r="L134">
        <v>59</v>
      </c>
      <c r="N134">
        <v>77</v>
      </c>
      <c r="T134">
        <v>59</v>
      </c>
      <c r="V134">
        <v>114</v>
      </c>
      <c r="AB134">
        <v>59</v>
      </c>
      <c r="AD134">
        <v>114</v>
      </c>
    </row>
    <row r="135" spans="3:32" x14ac:dyDescent="0.25">
      <c r="C135">
        <v>60</v>
      </c>
      <c r="L135">
        <v>60</v>
      </c>
      <c r="T135">
        <v>60</v>
      </c>
      <c r="AB135">
        <v>60</v>
      </c>
    </row>
    <row r="136" spans="3:32" x14ac:dyDescent="0.25">
      <c r="C136">
        <v>71</v>
      </c>
      <c r="E136">
        <v>16</v>
      </c>
      <c r="G136">
        <v>35</v>
      </c>
      <c r="L136">
        <v>71</v>
      </c>
      <c r="M136">
        <v>18</v>
      </c>
      <c r="O136">
        <v>50</v>
      </c>
      <c r="T136">
        <v>71</v>
      </c>
      <c r="U136">
        <v>45</v>
      </c>
      <c r="W136">
        <v>167</v>
      </c>
      <c r="AB136">
        <v>71</v>
      </c>
      <c r="AC136">
        <v>46</v>
      </c>
      <c r="AE136">
        <v>167</v>
      </c>
    </row>
    <row r="137" spans="3:32" x14ac:dyDescent="0.25">
      <c r="C137">
        <v>72</v>
      </c>
      <c r="L137">
        <v>72</v>
      </c>
      <c r="T137">
        <v>72</v>
      </c>
      <c r="AB137">
        <v>72</v>
      </c>
    </row>
    <row r="138" spans="3:32" x14ac:dyDescent="0.25">
      <c r="C138">
        <v>73</v>
      </c>
      <c r="E138">
        <v>9</v>
      </c>
      <c r="F138">
        <v>44</v>
      </c>
      <c r="L138">
        <v>73</v>
      </c>
      <c r="M138">
        <v>18</v>
      </c>
      <c r="N138">
        <v>60</v>
      </c>
      <c r="T138">
        <v>73</v>
      </c>
      <c r="U138">
        <v>19</v>
      </c>
      <c r="V138">
        <v>80</v>
      </c>
      <c r="AB138">
        <v>73</v>
      </c>
      <c r="AC138">
        <v>20</v>
      </c>
      <c r="AD138">
        <v>81</v>
      </c>
    </row>
    <row r="139" spans="3:32" x14ac:dyDescent="0.25">
      <c r="C139">
        <v>74</v>
      </c>
      <c r="E139">
        <v>6</v>
      </c>
      <c r="F139">
        <v>15</v>
      </c>
      <c r="G139">
        <v>9</v>
      </c>
      <c r="L139">
        <v>74</v>
      </c>
      <c r="M139">
        <v>9</v>
      </c>
      <c r="N139">
        <v>15</v>
      </c>
      <c r="O139">
        <v>12</v>
      </c>
      <c r="T139">
        <v>74</v>
      </c>
      <c r="U139">
        <v>10</v>
      </c>
      <c r="V139">
        <v>36</v>
      </c>
      <c r="W139">
        <v>294</v>
      </c>
      <c r="AB139">
        <v>74</v>
      </c>
      <c r="AC139">
        <v>11</v>
      </c>
      <c r="AD139">
        <v>37</v>
      </c>
      <c r="AE139">
        <v>295</v>
      </c>
    </row>
    <row r="140" spans="3:32" x14ac:dyDescent="0.25">
      <c r="C140">
        <v>75</v>
      </c>
      <c r="E140">
        <v>17</v>
      </c>
      <c r="F140">
        <v>24</v>
      </c>
      <c r="L140">
        <v>75</v>
      </c>
      <c r="M140">
        <v>20</v>
      </c>
      <c r="N140">
        <v>32</v>
      </c>
      <c r="T140">
        <v>75</v>
      </c>
      <c r="U140">
        <v>40</v>
      </c>
      <c r="V140">
        <v>61</v>
      </c>
      <c r="AB140">
        <v>75</v>
      </c>
      <c r="AC140">
        <v>41</v>
      </c>
      <c r="AD140">
        <v>62</v>
      </c>
    </row>
    <row r="141" spans="3:32" x14ac:dyDescent="0.25">
      <c r="C141">
        <v>76</v>
      </c>
      <c r="E141">
        <v>16</v>
      </c>
      <c r="F141">
        <v>224</v>
      </c>
      <c r="L141">
        <v>76</v>
      </c>
      <c r="M141">
        <v>22</v>
      </c>
      <c r="N141">
        <v>231</v>
      </c>
      <c r="T141">
        <v>76</v>
      </c>
      <c r="U141">
        <v>24</v>
      </c>
      <c r="V141">
        <v>239</v>
      </c>
      <c r="AB141">
        <v>76</v>
      </c>
      <c r="AC141">
        <v>25</v>
      </c>
      <c r="AD141">
        <v>240</v>
      </c>
    </row>
    <row r="142" spans="3:32" x14ac:dyDescent="0.25">
      <c r="C142">
        <v>77</v>
      </c>
      <c r="G142">
        <v>10</v>
      </c>
      <c r="H142">
        <v>28</v>
      </c>
      <c r="L142">
        <v>77</v>
      </c>
      <c r="O142">
        <v>12</v>
      </c>
      <c r="P142">
        <v>46</v>
      </c>
      <c r="T142">
        <v>77</v>
      </c>
      <c r="W142">
        <v>63</v>
      </c>
      <c r="X142">
        <v>308</v>
      </c>
      <c r="AB142">
        <v>77</v>
      </c>
      <c r="AE142">
        <v>64</v>
      </c>
      <c r="AF142">
        <v>309</v>
      </c>
    </row>
    <row r="143" spans="3:32" x14ac:dyDescent="0.25">
      <c r="C143">
        <v>78</v>
      </c>
      <c r="E143">
        <v>52</v>
      </c>
      <c r="L143">
        <v>78</v>
      </c>
      <c r="M143">
        <v>68</v>
      </c>
      <c r="T143">
        <v>78</v>
      </c>
      <c r="U143">
        <v>72</v>
      </c>
      <c r="AB143">
        <v>78</v>
      </c>
      <c r="AC143">
        <v>73</v>
      </c>
    </row>
    <row r="144" spans="3:32" x14ac:dyDescent="0.25">
      <c r="C144">
        <v>79</v>
      </c>
      <c r="E144">
        <v>26</v>
      </c>
      <c r="F144">
        <v>23</v>
      </c>
      <c r="H144">
        <v>65</v>
      </c>
      <c r="L144">
        <v>79</v>
      </c>
      <c r="M144">
        <v>27</v>
      </c>
      <c r="N144">
        <v>31</v>
      </c>
      <c r="P144">
        <v>83</v>
      </c>
      <c r="T144">
        <v>79</v>
      </c>
      <c r="U144">
        <v>29</v>
      </c>
      <c r="V144">
        <v>43</v>
      </c>
      <c r="AB144">
        <v>79</v>
      </c>
      <c r="AC144">
        <v>30</v>
      </c>
      <c r="AD144">
        <v>44</v>
      </c>
    </row>
    <row r="145" spans="2:32" x14ac:dyDescent="0.25">
      <c r="C145">
        <v>80</v>
      </c>
      <c r="E145">
        <v>41</v>
      </c>
      <c r="F145">
        <v>80</v>
      </c>
      <c r="G145">
        <v>50</v>
      </c>
      <c r="L145">
        <v>80</v>
      </c>
      <c r="M145">
        <v>50</v>
      </c>
      <c r="N145">
        <v>83</v>
      </c>
      <c r="O145">
        <v>60</v>
      </c>
      <c r="T145">
        <v>80</v>
      </c>
      <c r="U145">
        <v>53</v>
      </c>
      <c r="V145">
        <v>283</v>
      </c>
      <c r="W145">
        <v>234</v>
      </c>
      <c r="AB145">
        <v>80</v>
      </c>
      <c r="AC145">
        <v>54</v>
      </c>
      <c r="AD145">
        <v>284</v>
      </c>
      <c r="AE145">
        <v>235</v>
      </c>
    </row>
    <row r="146" spans="2:32" x14ac:dyDescent="0.25">
      <c r="C146">
        <v>81</v>
      </c>
      <c r="E146">
        <v>14</v>
      </c>
      <c r="F146">
        <v>96</v>
      </c>
      <c r="L146">
        <v>81</v>
      </c>
      <c r="M146">
        <v>16</v>
      </c>
      <c r="N146">
        <v>100</v>
      </c>
      <c r="T146">
        <v>81</v>
      </c>
      <c r="U146">
        <v>86</v>
      </c>
      <c r="V146">
        <v>112</v>
      </c>
      <c r="AB146">
        <v>81</v>
      </c>
      <c r="AC146">
        <v>87</v>
      </c>
      <c r="AD146">
        <v>113</v>
      </c>
    </row>
    <row r="147" spans="2:32" x14ac:dyDescent="0.25">
      <c r="C147">
        <v>82</v>
      </c>
      <c r="L147">
        <v>82</v>
      </c>
      <c r="T147">
        <v>82</v>
      </c>
      <c r="AB147">
        <v>82</v>
      </c>
    </row>
    <row r="148" spans="2:32" x14ac:dyDescent="0.25">
      <c r="C148">
        <v>83</v>
      </c>
      <c r="F148">
        <v>18</v>
      </c>
      <c r="G148">
        <v>56</v>
      </c>
      <c r="H148">
        <v>9</v>
      </c>
      <c r="L148">
        <v>83</v>
      </c>
      <c r="N148">
        <v>20</v>
      </c>
      <c r="O148">
        <v>60</v>
      </c>
      <c r="P148">
        <v>12</v>
      </c>
      <c r="T148">
        <v>83</v>
      </c>
      <c r="V148">
        <v>123</v>
      </c>
      <c r="W148">
        <v>62</v>
      </c>
      <c r="X148">
        <v>368</v>
      </c>
      <c r="AB148">
        <v>83</v>
      </c>
      <c r="AD148">
        <v>402</v>
      </c>
      <c r="AE148">
        <v>117</v>
      </c>
      <c r="AF148">
        <v>369</v>
      </c>
    </row>
    <row r="149" spans="2:32" x14ac:dyDescent="0.25">
      <c r="C149">
        <v>85</v>
      </c>
      <c r="G149">
        <v>120</v>
      </c>
      <c r="H149">
        <v>42</v>
      </c>
      <c r="L149">
        <v>85</v>
      </c>
      <c r="O149">
        <v>122</v>
      </c>
      <c r="P149">
        <v>83</v>
      </c>
      <c r="T149">
        <v>85</v>
      </c>
      <c r="AB149">
        <v>85</v>
      </c>
    </row>
    <row r="150" spans="2:32" x14ac:dyDescent="0.25">
      <c r="C150">
        <v>86</v>
      </c>
      <c r="L150">
        <v>86</v>
      </c>
      <c r="T150">
        <v>86</v>
      </c>
      <c r="AB150">
        <v>86</v>
      </c>
    </row>
    <row r="155" spans="2:32" ht="34.5" thickBot="1" x14ac:dyDescent="0.55000000000000004">
      <c r="B155" s="27" t="s">
        <v>265</v>
      </c>
    </row>
    <row r="156" spans="2:32" ht="29.25" thickBot="1" x14ac:dyDescent="0.5">
      <c r="D156" s="36" t="s">
        <v>114</v>
      </c>
      <c r="E156" s="37"/>
      <c r="F156" s="37"/>
      <c r="G156" s="37"/>
      <c r="H156" s="38"/>
      <c r="I156" s="9"/>
      <c r="J156" s="36" t="s">
        <v>252</v>
      </c>
      <c r="K156" s="37"/>
      <c r="L156" s="37"/>
      <c r="M156" s="37"/>
      <c r="N156" s="38"/>
      <c r="O156" s="9"/>
      <c r="P156" s="36" t="s">
        <v>115</v>
      </c>
      <c r="Q156" s="37"/>
      <c r="R156" s="37"/>
      <c r="S156" s="37"/>
      <c r="T156" s="38"/>
      <c r="U156" s="9"/>
      <c r="V156" s="36" t="s">
        <v>116</v>
      </c>
      <c r="W156" s="37"/>
      <c r="X156" s="37"/>
      <c r="Y156" s="37"/>
      <c r="Z156" s="38"/>
    </row>
    <row r="158" spans="2:32" ht="21" x14ac:dyDescent="0.35">
      <c r="B158" s="2" t="s">
        <v>266</v>
      </c>
      <c r="C158" s="2"/>
      <c r="D158" s="2" t="s">
        <v>267</v>
      </c>
      <c r="E158" s="2" t="s">
        <v>260</v>
      </c>
      <c r="F158" s="2" t="s">
        <v>261</v>
      </c>
      <c r="G158" s="2" t="s">
        <v>262</v>
      </c>
      <c r="H158" s="2" t="s">
        <v>268</v>
      </c>
      <c r="I158" s="28"/>
      <c r="J158" s="2" t="s">
        <v>267</v>
      </c>
      <c r="K158" s="2" t="s">
        <v>260</v>
      </c>
      <c r="L158" s="2" t="s">
        <v>261</v>
      </c>
      <c r="M158" s="2" t="s">
        <v>262</v>
      </c>
      <c r="N158" s="2" t="s">
        <v>268</v>
      </c>
      <c r="O158" s="28"/>
      <c r="P158" s="2" t="s">
        <v>267</v>
      </c>
      <c r="Q158" s="2" t="s">
        <v>260</v>
      </c>
      <c r="R158" s="2" t="s">
        <v>261</v>
      </c>
      <c r="S158" s="2" t="s">
        <v>262</v>
      </c>
      <c r="T158" s="2" t="s">
        <v>268</v>
      </c>
      <c r="U158" s="28"/>
      <c r="V158" s="2" t="s">
        <v>267</v>
      </c>
      <c r="W158" s="2" t="s">
        <v>260</v>
      </c>
      <c r="X158" s="2" t="s">
        <v>261</v>
      </c>
      <c r="Y158" s="2" t="s">
        <v>262</v>
      </c>
      <c r="Z158" s="2" t="s">
        <v>268</v>
      </c>
    </row>
    <row r="159" spans="2:32" x14ac:dyDescent="0.25">
      <c r="B159">
        <v>1</v>
      </c>
      <c r="I159" s="29"/>
      <c r="O159" s="29"/>
      <c r="U159" s="29"/>
    </row>
    <row r="160" spans="2:32" x14ac:dyDescent="0.25">
      <c r="B160">
        <v>2</v>
      </c>
      <c r="D160">
        <v>97.666666666666671</v>
      </c>
      <c r="E160">
        <v>14</v>
      </c>
      <c r="F160">
        <v>15</v>
      </c>
      <c r="G160">
        <v>25</v>
      </c>
      <c r="H160">
        <v>179</v>
      </c>
      <c r="I160" s="29"/>
      <c r="J160">
        <f>(600-K160)/6</f>
        <v>98.333333333333329</v>
      </c>
      <c r="K160">
        <v>10</v>
      </c>
      <c r="L160">
        <v>25</v>
      </c>
      <c r="M160">
        <v>136</v>
      </c>
      <c r="N160">
        <v>198</v>
      </c>
      <c r="O160" s="29"/>
      <c r="U160" s="29"/>
    </row>
    <row r="161" spans="2:26" x14ac:dyDescent="0.25">
      <c r="B161">
        <v>3</v>
      </c>
      <c r="I161" s="29"/>
      <c r="O161" s="29"/>
      <c r="U161" s="29"/>
    </row>
    <row r="162" spans="2:26" x14ac:dyDescent="0.25">
      <c r="B162">
        <v>4</v>
      </c>
      <c r="D162">
        <v>99.5</v>
      </c>
      <c r="E162">
        <v>3</v>
      </c>
      <c r="F162">
        <v>14</v>
      </c>
      <c r="G162">
        <v>53</v>
      </c>
      <c r="H162">
        <v>281</v>
      </c>
      <c r="I162" s="29"/>
      <c r="O162" s="29"/>
      <c r="U162" s="29"/>
    </row>
    <row r="163" spans="2:26" x14ac:dyDescent="0.25">
      <c r="B163">
        <v>5</v>
      </c>
      <c r="D163">
        <v>96.166666666666671</v>
      </c>
      <c r="E163">
        <v>23</v>
      </c>
      <c r="F163">
        <v>25</v>
      </c>
      <c r="G163">
        <v>75</v>
      </c>
      <c r="H163">
        <v>77</v>
      </c>
      <c r="I163" s="29"/>
      <c r="O163" s="29"/>
      <c r="P163">
        <f>(600-Q163)/600</f>
        <v>0.88500000000000001</v>
      </c>
      <c r="Q163">
        <v>69</v>
      </c>
      <c r="R163">
        <v>71</v>
      </c>
      <c r="S163">
        <v>159</v>
      </c>
      <c r="U163" s="29"/>
      <c r="V163">
        <f>(600-42)/600</f>
        <v>0.93</v>
      </c>
      <c r="W163">
        <v>42</v>
      </c>
      <c r="X163">
        <v>81</v>
      </c>
      <c r="Y163">
        <v>325</v>
      </c>
      <c r="Z163">
        <v>340</v>
      </c>
    </row>
    <row r="164" spans="2:26" x14ac:dyDescent="0.25">
      <c r="B164">
        <v>6</v>
      </c>
      <c r="D164">
        <v>99</v>
      </c>
      <c r="E164">
        <v>6</v>
      </c>
      <c r="F164">
        <v>22</v>
      </c>
      <c r="G164">
        <v>90</v>
      </c>
      <c r="H164">
        <v>144</v>
      </c>
      <c r="I164" s="29"/>
      <c r="J164">
        <f t="shared" ref="J164:J207" si="0">(600-K164)/6</f>
        <v>95.333333333333329</v>
      </c>
      <c r="K164">
        <v>28</v>
      </c>
      <c r="L164">
        <v>35</v>
      </c>
      <c r="M164">
        <v>448</v>
      </c>
      <c r="O164" s="29"/>
      <c r="P164">
        <f t="shared" ref="P164:P205" si="1">(600-Q164)/600</f>
        <v>0.98499999999999999</v>
      </c>
      <c r="Q164">
        <v>9</v>
      </c>
      <c r="R164">
        <v>9</v>
      </c>
      <c r="S164">
        <v>190</v>
      </c>
      <c r="U164" s="29"/>
      <c r="V164">
        <f>(600-11)/600</f>
        <v>0.98166666666666669</v>
      </c>
      <c r="W164">
        <v>11</v>
      </c>
      <c r="X164">
        <v>15</v>
      </c>
      <c r="Y164">
        <v>258</v>
      </c>
      <c r="Z164">
        <v>260</v>
      </c>
    </row>
    <row r="165" spans="2:26" x14ac:dyDescent="0.25">
      <c r="B165">
        <v>7</v>
      </c>
      <c r="I165" s="29"/>
      <c r="J165">
        <f t="shared" si="0"/>
        <v>94.666666666666671</v>
      </c>
      <c r="K165">
        <v>32</v>
      </c>
      <c r="L165">
        <v>31</v>
      </c>
      <c r="M165">
        <v>225</v>
      </c>
      <c r="N165">
        <v>225</v>
      </c>
      <c r="O165" s="29"/>
      <c r="P165">
        <f t="shared" si="1"/>
        <v>0.9966666666666667</v>
      </c>
      <c r="Q165">
        <v>2</v>
      </c>
      <c r="R165">
        <v>2</v>
      </c>
      <c r="S165">
        <v>15</v>
      </c>
      <c r="T165">
        <v>445</v>
      </c>
      <c r="U165" s="29"/>
      <c r="V165">
        <f>(600-19)/600</f>
        <v>0.96833333333333338</v>
      </c>
      <c r="W165">
        <v>19</v>
      </c>
      <c r="X165">
        <v>23</v>
      </c>
      <c r="Y165">
        <v>32</v>
      </c>
      <c r="Z165">
        <v>33</v>
      </c>
    </row>
    <row r="166" spans="2:26" x14ac:dyDescent="0.25">
      <c r="B166">
        <v>8</v>
      </c>
      <c r="D166">
        <v>97.833333333333329</v>
      </c>
      <c r="E166">
        <v>13</v>
      </c>
      <c r="F166">
        <v>25</v>
      </c>
      <c r="G166">
        <v>97</v>
      </c>
      <c r="H166">
        <v>155</v>
      </c>
      <c r="I166" s="29"/>
      <c r="O166" s="29"/>
      <c r="U166" s="29"/>
    </row>
    <row r="167" spans="2:26" x14ac:dyDescent="0.25">
      <c r="B167">
        <v>9</v>
      </c>
      <c r="D167">
        <v>90.833333333333329</v>
      </c>
      <c r="E167">
        <v>55</v>
      </c>
      <c r="F167">
        <v>59</v>
      </c>
      <c r="G167">
        <v>193</v>
      </c>
      <c r="H167">
        <v>308</v>
      </c>
      <c r="I167" s="29"/>
      <c r="O167" s="29"/>
      <c r="U167" s="29"/>
    </row>
    <row r="168" spans="2:26" x14ac:dyDescent="0.25">
      <c r="B168">
        <v>10</v>
      </c>
      <c r="D168">
        <v>91.666666666666671</v>
      </c>
      <c r="E168">
        <v>50</v>
      </c>
      <c r="F168">
        <v>69</v>
      </c>
      <c r="G168">
        <v>115</v>
      </c>
      <c r="H168">
        <v>145</v>
      </c>
      <c r="I168" s="29"/>
      <c r="J168">
        <f t="shared" si="0"/>
        <v>98</v>
      </c>
      <c r="K168">
        <v>12</v>
      </c>
      <c r="L168">
        <v>32</v>
      </c>
      <c r="M168">
        <v>407</v>
      </c>
      <c r="O168" s="29"/>
      <c r="P168">
        <f t="shared" si="1"/>
        <v>0.98666666666666669</v>
      </c>
      <c r="Q168">
        <v>8</v>
      </c>
      <c r="R168">
        <v>10</v>
      </c>
      <c r="S168">
        <v>290</v>
      </c>
      <c r="U168" s="29"/>
      <c r="V168">
        <f>(600-5)/600</f>
        <v>0.9916666666666667</v>
      </c>
      <c r="W168">
        <v>5</v>
      </c>
      <c r="X168">
        <v>8</v>
      </c>
      <c r="Y168">
        <v>174</v>
      </c>
      <c r="Z168">
        <v>176</v>
      </c>
    </row>
    <row r="169" spans="2:26" x14ac:dyDescent="0.25">
      <c r="B169">
        <v>11</v>
      </c>
      <c r="D169">
        <v>99</v>
      </c>
      <c r="E169">
        <v>6</v>
      </c>
      <c r="F169">
        <v>27</v>
      </c>
      <c r="G169">
        <v>160</v>
      </c>
      <c r="I169" s="29"/>
      <c r="J169">
        <f t="shared" si="0"/>
        <v>93.666666666666671</v>
      </c>
      <c r="K169">
        <v>38</v>
      </c>
      <c r="L169">
        <v>47</v>
      </c>
      <c r="M169">
        <v>225</v>
      </c>
      <c r="O169" s="29"/>
      <c r="U169" s="29"/>
    </row>
    <row r="170" spans="2:26" x14ac:dyDescent="0.25">
      <c r="B170">
        <v>12</v>
      </c>
      <c r="I170" s="29"/>
      <c r="J170">
        <f t="shared" si="0"/>
        <v>97.5</v>
      </c>
      <c r="K170">
        <v>15</v>
      </c>
      <c r="L170">
        <v>17</v>
      </c>
      <c r="M170">
        <v>100</v>
      </c>
      <c r="N170">
        <v>383</v>
      </c>
      <c r="O170" s="29"/>
      <c r="P170">
        <f t="shared" si="1"/>
        <v>0.94666666666666666</v>
      </c>
      <c r="Q170">
        <v>32</v>
      </c>
      <c r="R170">
        <v>32</v>
      </c>
      <c r="S170">
        <v>510</v>
      </c>
      <c r="U170" s="29"/>
    </row>
    <row r="171" spans="2:26" x14ac:dyDescent="0.25">
      <c r="B171">
        <v>13</v>
      </c>
      <c r="D171">
        <v>94.166666666666671</v>
      </c>
      <c r="E171">
        <v>35</v>
      </c>
      <c r="F171">
        <v>40</v>
      </c>
      <c r="G171">
        <v>60</v>
      </c>
      <c r="H171">
        <v>152</v>
      </c>
      <c r="I171" s="29"/>
      <c r="J171">
        <f t="shared" si="0"/>
        <v>98.666666666666671</v>
      </c>
      <c r="K171">
        <v>8</v>
      </c>
      <c r="L171">
        <v>10</v>
      </c>
      <c r="M171">
        <v>55</v>
      </c>
      <c r="N171">
        <v>392</v>
      </c>
      <c r="O171" s="29"/>
      <c r="P171">
        <f t="shared" si="1"/>
        <v>0.98499999999999999</v>
      </c>
      <c r="Q171">
        <v>9</v>
      </c>
      <c r="R171">
        <v>10</v>
      </c>
      <c r="S171">
        <v>125</v>
      </c>
      <c r="U171" s="29"/>
      <c r="V171">
        <f>(600-16)/600</f>
        <v>0.97333333333333338</v>
      </c>
      <c r="W171">
        <v>16</v>
      </c>
      <c r="X171">
        <v>20</v>
      </c>
      <c r="Y171">
        <v>127</v>
      </c>
      <c r="Z171">
        <v>128</v>
      </c>
    </row>
    <row r="172" spans="2:26" x14ac:dyDescent="0.25">
      <c r="B172">
        <v>14</v>
      </c>
      <c r="I172" s="29"/>
      <c r="J172">
        <v>0</v>
      </c>
      <c r="O172" s="29"/>
      <c r="U172" s="29"/>
    </row>
    <row r="173" spans="2:26" x14ac:dyDescent="0.25">
      <c r="B173">
        <v>15</v>
      </c>
      <c r="D173">
        <v>92.5</v>
      </c>
      <c r="E173">
        <v>45</v>
      </c>
      <c r="F173">
        <v>45</v>
      </c>
      <c r="G173">
        <v>200</v>
      </c>
      <c r="H173">
        <v>200</v>
      </c>
      <c r="I173" s="29"/>
      <c r="J173">
        <f t="shared" si="0"/>
        <v>99.666666666666671</v>
      </c>
      <c r="K173">
        <v>2</v>
      </c>
      <c r="L173">
        <v>2</v>
      </c>
      <c r="M173">
        <v>195</v>
      </c>
      <c r="N173">
        <v>286</v>
      </c>
      <c r="O173" s="29"/>
      <c r="P173">
        <f t="shared" si="1"/>
        <v>0.98666666666666669</v>
      </c>
      <c r="Q173">
        <v>8</v>
      </c>
      <c r="R173">
        <v>8</v>
      </c>
      <c r="U173" s="29"/>
      <c r="V173">
        <f>(600-13)/600</f>
        <v>0.97833333333333339</v>
      </c>
      <c r="W173">
        <v>13</v>
      </c>
      <c r="X173">
        <v>15</v>
      </c>
    </row>
    <row r="174" spans="2:26" x14ac:dyDescent="0.25">
      <c r="B174">
        <v>16</v>
      </c>
      <c r="D174">
        <v>99.166666666666671</v>
      </c>
      <c r="E174">
        <v>5</v>
      </c>
      <c r="F174">
        <v>5</v>
      </c>
      <c r="G174">
        <v>200</v>
      </c>
      <c r="H174">
        <v>200</v>
      </c>
      <c r="I174" s="29"/>
      <c r="J174">
        <f t="shared" si="0"/>
        <v>99.666666666666671</v>
      </c>
      <c r="K174">
        <v>2</v>
      </c>
      <c r="L174">
        <v>2</v>
      </c>
      <c r="M174">
        <v>38</v>
      </c>
      <c r="N174">
        <v>52</v>
      </c>
      <c r="O174" s="29"/>
      <c r="P174">
        <f t="shared" si="1"/>
        <v>0.98333333333333328</v>
      </c>
      <c r="Q174">
        <v>10</v>
      </c>
      <c r="R174">
        <v>10</v>
      </c>
      <c r="S174">
        <v>75</v>
      </c>
      <c r="T174">
        <v>410</v>
      </c>
      <c r="U174" s="29"/>
      <c r="V174">
        <f>(600-18)/600</f>
        <v>0.97</v>
      </c>
      <c r="W174">
        <v>18</v>
      </c>
      <c r="X174">
        <v>26</v>
      </c>
      <c r="Y174">
        <v>237</v>
      </c>
      <c r="Z174">
        <v>238</v>
      </c>
    </row>
    <row r="175" spans="2:26" x14ac:dyDescent="0.25">
      <c r="B175">
        <v>17</v>
      </c>
      <c r="I175" s="29"/>
      <c r="J175">
        <f t="shared" si="0"/>
        <v>96.333333333333329</v>
      </c>
      <c r="K175">
        <v>22</v>
      </c>
      <c r="L175">
        <v>58</v>
      </c>
      <c r="M175">
        <v>72</v>
      </c>
      <c r="N175">
        <v>280</v>
      </c>
      <c r="O175" s="29"/>
      <c r="U175" s="29"/>
    </row>
    <row r="176" spans="2:26" x14ac:dyDescent="0.25">
      <c r="B176">
        <v>18</v>
      </c>
      <c r="D176">
        <v>95.333333333333329</v>
      </c>
      <c r="E176">
        <v>28</v>
      </c>
      <c r="F176">
        <v>30</v>
      </c>
      <c r="G176">
        <v>110</v>
      </c>
      <c r="H176">
        <v>210</v>
      </c>
      <c r="I176" s="29"/>
      <c r="J176">
        <f t="shared" si="0"/>
        <v>78.333333333333329</v>
      </c>
      <c r="K176">
        <v>130</v>
      </c>
      <c r="L176">
        <v>130</v>
      </c>
      <c r="M176">
        <v>160</v>
      </c>
      <c r="N176">
        <v>499</v>
      </c>
      <c r="O176" s="29"/>
      <c r="P176">
        <f t="shared" si="1"/>
        <v>0.98833333333333329</v>
      </c>
      <c r="Q176">
        <v>7</v>
      </c>
      <c r="R176">
        <v>7</v>
      </c>
      <c r="S176">
        <v>38</v>
      </c>
      <c r="T176">
        <v>233</v>
      </c>
      <c r="U176" s="29"/>
    </row>
    <row r="177" spans="2:26" x14ac:dyDescent="0.25">
      <c r="B177">
        <v>19</v>
      </c>
      <c r="D177">
        <v>86.666666666666671</v>
      </c>
      <c r="E177">
        <v>80</v>
      </c>
      <c r="F177">
        <v>80</v>
      </c>
      <c r="G177">
        <v>90</v>
      </c>
      <c r="H177">
        <v>340</v>
      </c>
      <c r="I177" s="29"/>
      <c r="J177">
        <f t="shared" si="0"/>
        <v>95.833333333333329</v>
      </c>
      <c r="K177">
        <v>25</v>
      </c>
      <c r="L177">
        <v>26</v>
      </c>
      <c r="M177">
        <v>29</v>
      </c>
      <c r="N177">
        <v>219</v>
      </c>
      <c r="O177" s="29"/>
      <c r="P177">
        <f t="shared" si="1"/>
        <v>0.96666666666666667</v>
      </c>
      <c r="Q177">
        <v>20</v>
      </c>
      <c r="R177">
        <v>200</v>
      </c>
      <c r="S177">
        <v>200</v>
      </c>
      <c r="T177">
        <v>315</v>
      </c>
      <c r="U177" s="29"/>
      <c r="V177">
        <f>(600-222)/600</f>
        <v>0.63</v>
      </c>
      <c r="W177">
        <v>222</v>
      </c>
      <c r="X177">
        <v>224</v>
      </c>
      <c r="Y177">
        <v>225</v>
      </c>
      <c r="Z177">
        <v>226</v>
      </c>
    </row>
    <row r="178" spans="2:26" x14ac:dyDescent="0.25">
      <c r="B178">
        <v>20</v>
      </c>
      <c r="D178">
        <v>91.833333333333329</v>
      </c>
      <c r="E178">
        <v>49</v>
      </c>
      <c r="F178">
        <v>49</v>
      </c>
      <c r="G178">
        <v>120</v>
      </c>
      <c r="H178">
        <v>430</v>
      </c>
      <c r="I178" s="29"/>
      <c r="J178">
        <f t="shared" si="0"/>
        <v>95.333333333333329</v>
      </c>
      <c r="K178">
        <v>28</v>
      </c>
      <c r="L178">
        <v>30</v>
      </c>
      <c r="M178">
        <v>177</v>
      </c>
      <c r="N178">
        <v>305</v>
      </c>
      <c r="O178" s="29"/>
      <c r="P178">
        <f t="shared" si="1"/>
        <v>0.97</v>
      </c>
      <c r="Q178">
        <v>18</v>
      </c>
      <c r="R178">
        <v>45</v>
      </c>
      <c r="S178">
        <v>439</v>
      </c>
      <c r="U178" s="29"/>
      <c r="V178">
        <f>579/600</f>
        <v>0.96499999999999997</v>
      </c>
      <c r="W178">
        <v>21</v>
      </c>
      <c r="X178">
        <v>24</v>
      </c>
      <c r="Y178">
        <v>313</v>
      </c>
      <c r="Z178">
        <v>314</v>
      </c>
    </row>
    <row r="179" spans="2:26" x14ac:dyDescent="0.25">
      <c r="B179">
        <v>21</v>
      </c>
      <c r="D179">
        <v>98</v>
      </c>
      <c r="E179">
        <v>12</v>
      </c>
      <c r="F179">
        <v>15</v>
      </c>
      <c r="G179">
        <v>175</v>
      </c>
      <c r="I179" s="29"/>
      <c r="J179">
        <f t="shared" si="0"/>
        <v>93.833333333333329</v>
      </c>
      <c r="K179">
        <v>37</v>
      </c>
      <c r="L179">
        <v>58</v>
      </c>
      <c r="M179">
        <v>278</v>
      </c>
      <c r="O179" s="29"/>
      <c r="U179" s="29"/>
    </row>
    <row r="180" spans="2:26" x14ac:dyDescent="0.25">
      <c r="B180">
        <v>22</v>
      </c>
      <c r="I180" s="29"/>
      <c r="J180">
        <f t="shared" si="0"/>
        <v>99.166666666666671</v>
      </c>
      <c r="K180">
        <v>5</v>
      </c>
      <c r="L180">
        <v>5</v>
      </c>
      <c r="M180">
        <v>28</v>
      </c>
      <c r="N180">
        <v>45</v>
      </c>
      <c r="O180" s="29"/>
      <c r="P180">
        <f t="shared" si="1"/>
        <v>0.98499999999999999</v>
      </c>
      <c r="Q180">
        <v>9</v>
      </c>
      <c r="R180">
        <v>9</v>
      </c>
      <c r="S180">
        <v>190</v>
      </c>
      <c r="U180" s="29"/>
      <c r="V180">
        <f>(600-10)/600</f>
        <v>0.98333333333333328</v>
      </c>
      <c r="W180">
        <v>10</v>
      </c>
      <c r="X180">
        <v>12</v>
      </c>
      <c r="Y180">
        <v>157</v>
      </c>
      <c r="Z180">
        <v>158</v>
      </c>
    </row>
    <row r="181" spans="2:26" x14ac:dyDescent="0.25">
      <c r="B181">
        <v>23</v>
      </c>
      <c r="D181">
        <v>74.166666666666671</v>
      </c>
      <c r="E181">
        <v>155</v>
      </c>
      <c r="F181">
        <v>157</v>
      </c>
      <c r="G181">
        <v>175</v>
      </c>
      <c r="I181" s="29"/>
      <c r="J181">
        <f t="shared" si="0"/>
        <v>96.666666666666671</v>
      </c>
      <c r="K181">
        <v>20</v>
      </c>
      <c r="L181">
        <v>90</v>
      </c>
      <c r="M181">
        <v>105</v>
      </c>
      <c r="N181">
        <v>325</v>
      </c>
      <c r="O181" s="29"/>
      <c r="P181">
        <f t="shared" si="1"/>
        <v>0.68</v>
      </c>
      <c r="Q181">
        <v>192</v>
      </c>
      <c r="R181">
        <v>192</v>
      </c>
      <c r="U181" s="29"/>
    </row>
    <row r="182" spans="2:26" x14ac:dyDescent="0.25">
      <c r="B182">
        <v>24</v>
      </c>
      <c r="D182">
        <v>94.166666666666671</v>
      </c>
      <c r="E182">
        <v>35</v>
      </c>
      <c r="F182">
        <v>35</v>
      </c>
      <c r="G182">
        <v>75</v>
      </c>
      <c r="I182" s="29"/>
      <c r="J182">
        <f t="shared" si="0"/>
        <v>93.666666666666671</v>
      </c>
      <c r="K182">
        <v>38</v>
      </c>
      <c r="L182">
        <v>38</v>
      </c>
      <c r="M182">
        <v>62</v>
      </c>
      <c r="N182">
        <v>152</v>
      </c>
      <c r="O182" s="29"/>
      <c r="P182">
        <f t="shared" si="1"/>
        <v>0.98166666666666669</v>
      </c>
      <c r="Q182">
        <v>11</v>
      </c>
      <c r="R182">
        <v>11</v>
      </c>
      <c r="S182">
        <v>145</v>
      </c>
      <c r="U182" s="29"/>
      <c r="V182">
        <f>(600-92)/600</f>
        <v>0.84666666666666668</v>
      </c>
      <c r="W182">
        <v>22</v>
      </c>
      <c r="X182">
        <v>25</v>
      </c>
      <c r="Y182">
        <v>276</v>
      </c>
      <c r="Z182">
        <v>277</v>
      </c>
    </row>
    <row r="183" spans="2:26" x14ac:dyDescent="0.25">
      <c r="B183">
        <v>25</v>
      </c>
      <c r="I183" s="29"/>
      <c r="O183" s="29"/>
      <c r="P183">
        <f t="shared" si="1"/>
        <v>0.94166666666666665</v>
      </c>
      <c r="Q183">
        <v>35</v>
      </c>
      <c r="R183">
        <v>70</v>
      </c>
      <c r="S183">
        <v>275</v>
      </c>
      <c r="U183" s="29"/>
    </row>
    <row r="184" spans="2:26" x14ac:dyDescent="0.25">
      <c r="B184">
        <v>26</v>
      </c>
      <c r="I184" s="29"/>
      <c r="J184">
        <f t="shared" si="0"/>
        <v>98.833333333333329</v>
      </c>
      <c r="K184">
        <v>7</v>
      </c>
      <c r="L184">
        <v>7</v>
      </c>
      <c r="M184">
        <v>122</v>
      </c>
      <c r="N184">
        <v>197</v>
      </c>
      <c r="O184" s="29"/>
      <c r="P184">
        <f t="shared" si="1"/>
        <v>0.34166666666666667</v>
      </c>
      <c r="Q184">
        <v>395</v>
      </c>
      <c r="R184">
        <v>395</v>
      </c>
      <c r="S184">
        <v>815</v>
      </c>
      <c r="U184" s="29"/>
      <c r="V184">
        <f>202/600</f>
        <v>0.33666666666666667</v>
      </c>
      <c r="W184">
        <v>397</v>
      </c>
      <c r="X184">
        <v>405</v>
      </c>
      <c r="Y184">
        <v>486</v>
      </c>
      <c r="Z184">
        <v>487</v>
      </c>
    </row>
    <row r="185" spans="2:26" x14ac:dyDescent="0.25">
      <c r="B185">
        <v>27</v>
      </c>
      <c r="D185">
        <v>94.166666666666671</v>
      </c>
      <c r="E185">
        <v>35</v>
      </c>
      <c r="F185">
        <v>37</v>
      </c>
      <c r="G185">
        <v>85</v>
      </c>
      <c r="H185">
        <v>85</v>
      </c>
      <c r="I185" s="29"/>
      <c r="J185">
        <f t="shared" si="0"/>
        <v>92.5</v>
      </c>
      <c r="K185">
        <v>45</v>
      </c>
      <c r="L185">
        <v>152</v>
      </c>
      <c r="M185">
        <v>185</v>
      </c>
      <c r="N185">
        <v>265</v>
      </c>
      <c r="O185" s="29"/>
      <c r="P185">
        <f t="shared" si="1"/>
        <v>0.98333333333333328</v>
      </c>
      <c r="Q185">
        <v>10</v>
      </c>
      <c r="R185">
        <v>34</v>
      </c>
      <c r="S185">
        <v>163</v>
      </c>
      <c r="U185" s="29"/>
      <c r="V185">
        <f>466/600</f>
        <v>0.77666666666666662</v>
      </c>
      <c r="W185">
        <v>14</v>
      </c>
      <c r="X185">
        <v>66</v>
      </c>
    </row>
    <row r="186" spans="2:26" x14ac:dyDescent="0.25">
      <c r="B186">
        <v>28</v>
      </c>
      <c r="I186" s="29"/>
      <c r="O186" s="29"/>
      <c r="U186" s="29"/>
    </row>
    <row r="187" spans="2:26" x14ac:dyDescent="0.25">
      <c r="B187">
        <v>29</v>
      </c>
      <c r="I187" s="29"/>
      <c r="J187">
        <f t="shared" si="0"/>
        <v>99.166666666666671</v>
      </c>
      <c r="K187">
        <v>5</v>
      </c>
      <c r="L187">
        <v>45</v>
      </c>
      <c r="M187">
        <v>110</v>
      </c>
      <c r="N187">
        <v>190</v>
      </c>
      <c r="O187" s="29"/>
      <c r="P187">
        <f t="shared" si="1"/>
        <v>0.98</v>
      </c>
      <c r="Q187">
        <v>12</v>
      </c>
      <c r="R187">
        <v>12</v>
      </c>
      <c r="S187">
        <v>145</v>
      </c>
      <c r="U187" s="29"/>
    </row>
    <row r="188" spans="2:26" x14ac:dyDescent="0.25">
      <c r="B188">
        <v>30</v>
      </c>
      <c r="D188">
        <v>65.833333333333329</v>
      </c>
      <c r="E188">
        <v>205</v>
      </c>
      <c r="F188">
        <v>215</v>
      </c>
      <c r="G188">
        <v>225</v>
      </c>
      <c r="H188">
        <v>225</v>
      </c>
      <c r="I188" s="29"/>
      <c r="J188">
        <f t="shared" si="0"/>
        <v>80.333333333333329</v>
      </c>
      <c r="K188">
        <v>118</v>
      </c>
      <c r="L188">
        <v>118</v>
      </c>
      <c r="M188">
        <v>340</v>
      </c>
      <c r="N188">
        <v>405</v>
      </c>
      <c r="O188" s="29"/>
      <c r="P188">
        <f t="shared" si="1"/>
        <v>0.97333333333333338</v>
      </c>
      <c r="Q188">
        <v>16</v>
      </c>
      <c r="R188">
        <v>16</v>
      </c>
      <c r="S188">
        <v>65</v>
      </c>
      <c r="U188" s="29"/>
      <c r="V188">
        <f>(600-28)/600</f>
        <v>0.95333333333333337</v>
      </c>
      <c r="W188">
        <v>28</v>
      </c>
      <c r="X188">
        <v>32</v>
      </c>
      <c r="Y188">
        <v>80</v>
      </c>
      <c r="Z188">
        <v>81</v>
      </c>
    </row>
    <row r="189" spans="2:26" x14ac:dyDescent="0.25">
      <c r="B189">
        <v>31</v>
      </c>
      <c r="D189">
        <v>85</v>
      </c>
      <c r="E189">
        <v>90</v>
      </c>
      <c r="F189">
        <v>90</v>
      </c>
      <c r="G189">
        <v>175</v>
      </c>
      <c r="H189">
        <v>490</v>
      </c>
      <c r="I189" s="29"/>
      <c r="J189">
        <f t="shared" si="0"/>
        <v>99.5</v>
      </c>
      <c r="K189">
        <v>3</v>
      </c>
      <c r="L189">
        <v>5</v>
      </c>
      <c r="M189">
        <v>10</v>
      </c>
      <c r="N189">
        <v>137</v>
      </c>
      <c r="O189" s="29"/>
      <c r="P189">
        <f t="shared" si="1"/>
        <v>0.9966666666666667</v>
      </c>
      <c r="Q189">
        <v>2</v>
      </c>
      <c r="R189">
        <v>2</v>
      </c>
      <c r="S189">
        <v>35</v>
      </c>
      <c r="T189">
        <v>65</v>
      </c>
      <c r="U189" s="29"/>
      <c r="V189">
        <f>(600-11)/600</f>
        <v>0.98166666666666669</v>
      </c>
      <c r="W189">
        <v>11</v>
      </c>
      <c r="X189">
        <v>13</v>
      </c>
      <c r="Y189">
        <v>18</v>
      </c>
      <c r="Z189">
        <v>19</v>
      </c>
    </row>
    <row r="190" spans="2:26" x14ac:dyDescent="0.25">
      <c r="B190">
        <v>32</v>
      </c>
      <c r="D190">
        <v>60.833333333333336</v>
      </c>
      <c r="E190">
        <v>235</v>
      </c>
      <c r="F190">
        <v>235</v>
      </c>
      <c r="G190">
        <v>245</v>
      </c>
      <c r="H190">
        <v>245</v>
      </c>
      <c r="I190" s="29"/>
      <c r="J190">
        <f t="shared" si="0"/>
        <v>96</v>
      </c>
      <c r="K190">
        <v>24</v>
      </c>
      <c r="L190">
        <v>24</v>
      </c>
      <c r="M190">
        <v>58</v>
      </c>
      <c r="N190">
        <v>60</v>
      </c>
      <c r="O190" s="29"/>
      <c r="P190">
        <f t="shared" si="1"/>
        <v>0.9916666666666667</v>
      </c>
      <c r="Q190">
        <v>5</v>
      </c>
      <c r="R190">
        <v>42</v>
      </c>
      <c r="U190" s="29"/>
      <c r="V190">
        <f>(600-8)/600</f>
        <v>0.98666666666666669</v>
      </c>
      <c r="W190">
        <v>8</v>
      </c>
      <c r="X190">
        <v>19</v>
      </c>
      <c r="Y190">
        <v>118</v>
      </c>
      <c r="Z190">
        <v>119</v>
      </c>
    </row>
    <row r="191" spans="2:26" x14ac:dyDescent="0.25">
      <c r="B191">
        <v>33</v>
      </c>
      <c r="D191">
        <v>99.5</v>
      </c>
      <c r="E191">
        <v>3</v>
      </c>
      <c r="F191">
        <v>3</v>
      </c>
      <c r="G191">
        <v>60</v>
      </c>
      <c r="I191" s="29"/>
      <c r="J191">
        <f t="shared" si="0"/>
        <v>95.833333333333329</v>
      </c>
      <c r="K191">
        <v>25</v>
      </c>
      <c r="L191">
        <v>28</v>
      </c>
      <c r="M191">
        <v>95</v>
      </c>
      <c r="N191">
        <v>192</v>
      </c>
      <c r="O191" s="29"/>
      <c r="P191">
        <f t="shared" si="1"/>
        <v>0.99333333333333329</v>
      </c>
      <c r="Q191">
        <v>4</v>
      </c>
      <c r="R191">
        <v>4</v>
      </c>
      <c r="S191">
        <v>160</v>
      </c>
      <c r="U191" s="29"/>
      <c r="V191">
        <f>588/600</f>
        <v>0.98</v>
      </c>
      <c r="W191">
        <v>12</v>
      </c>
      <c r="X191">
        <v>14</v>
      </c>
      <c r="Y191">
        <v>459</v>
      </c>
      <c r="Z191">
        <v>460</v>
      </c>
    </row>
    <row r="192" spans="2:26" x14ac:dyDescent="0.25">
      <c r="B192">
        <v>34</v>
      </c>
      <c r="I192" s="29"/>
      <c r="J192">
        <f t="shared" si="0"/>
        <v>99.333333333333329</v>
      </c>
      <c r="K192">
        <v>4</v>
      </c>
      <c r="L192">
        <v>21</v>
      </c>
      <c r="M192">
        <v>195</v>
      </c>
      <c r="N192">
        <v>322</v>
      </c>
      <c r="O192" s="29"/>
      <c r="P192">
        <f t="shared" si="1"/>
        <v>0.95499999999999996</v>
      </c>
      <c r="Q192">
        <v>27</v>
      </c>
      <c r="R192">
        <v>54</v>
      </c>
      <c r="S192">
        <v>400</v>
      </c>
      <c r="U192" s="29"/>
      <c r="V192">
        <f>309/600</f>
        <v>0.51500000000000001</v>
      </c>
      <c r="W192">
        <v>41</v>
      </c>
      <c r="X192">
        <v>67</v>
      </c>
      <c r="Y192">
        <v>430</v>
      </c>
      <c r="Z192">
        <v>430</v>
      </c>
    </row>
    <row r="193" spans="2:26" x14ac:dyDescent="0.25">
      <c r="B193">
        <v>35</v>
      </c>
      <c r="D193">
        <v>97.5</v>
      </c>
      <c r="E193">
        <v>15</v>
      </c>
      <c r="F193">
        <v>19</v>
      </c>
      <c r="G193">
        <v>35</v>
      </c>
      <c r="H193">
        <v>37</v>
      </c>
      <c r="I193" s="29"/>
      <c r="O193" s="29"/>
      <c r="U193" s="29"/>
    </row>
    <row r="194" spans="2:26" x14ac:dyDescent="0.25">
      <c r="B194">
        <v>36</v>
      </c>
      <c r="D194">
        <v>65</v>
      </c>
      <c r="E194">
        <v>210</v>
      </c>
      <c r="F194">
        <v>210</v>
      </c>
      <c r="G194">
        <v>280</v>
      </c>
      <c r="I194" s="29"/>
      <c r="J194">
        <f t="shared" si="0"/>
        <v>92</v>
      </c>
      <c r="K194">
        <v>48</v>
      </c>
      <c r="L194">
        <v>52</v>
      </c>
      <c r="M194">
        <v>85</v>
      </c>
      <c r="N194">
        <v>175</v>
      </c>
      <c r="O194" s="29"/>
      <c r="U194" s="29"/>
    </row>
    <row r="195" spans="2:26" x14ac:dyDescent="0.25">
      <c r="B195">
        <v>37</v>
      </c>
      <c r="D195">
        <v>78.333333333333329</v>
      </c>
      <c r="E195">
        <v>130</v>
      </c>
      <c r="F195">
        <v>130</v>
      </c>
      <c r="G195">
        <v>150</v>
      </c>
      <c r="H195">
        <v>167</v>
      </c>
      <c r="I195" s="29"/>
      <c r="J195">
        <f t="shared" si="0"/>
        <v>97.833333333333329</v>
      </c>
      <c r="K195">
        <v>13</v>
      </c>
      <c r="L195">
        <v>13</v>
      </c>
      <c r="M195">
        <v>55</v>
      </c>
      <c r="N195">
        <v>405</v>
      </c>
      <c r="O195" s="29"/>
      <c r="P195">
        <f t="shared" si="1"/>
        <v>0.995</v>
      </c>
      <c r="Q195">
        <v>3</v>
      </c>
      <c r="R195">
        <v>3</v>
      </c>
      <c r="S195">
        <v>21</v>
      </c>
      <c r="T195">
        <v>32</v>
      </c>
      <c r="U195" s="29"/>
    </row>
    <row r="196" spans="2:26" x14ac:dyDescent="0.25">
      <c r="B196">
        <v>38</v>
      </c>
      <c r="D196">
        <v>96.833333333333329</v>
      </c>
      <c r="E196">
        <v>19</v>
      </c>
      <c r="F196">
        <v>19</v>
      </c>
      <c r="G196">
        <v>70</v>
      </c>
      <c r="H196">
        <v>90</v>
      </c>
      <c r="I196" s="29"/>
      <c r="J196">
        <f t="shared" si="0"/>
        <v>97.666666666666671</v>
      </c>
      <c r="K196">
        <v>14</v>
      </c>
      <c r="L196">
        <v>14</v>
      </c>
      <c r="M196">
        <v>95</v>
      </c>
      <c r="N196">
        <v>195</v>
      </c>
      <c r="O196" s="29"/>
      <c r="P196">
        <f t="shared" si="1"/>
        <v>0.95333333333333337</v>
      </c>
      <c r="Q196">
        <v>28</v>
      </c>
      <c r="R196">
        <v>42</v>
      </c>
      <c r="S196">
        <v>200</v>
      </c>
      <c r="U196" s="29"/>
      <c r="V196">
        <f>(600-38)/600</f>
        <v>0.93666666666666665</v>
      </c>
      <c r="W196">
        <v>38</v>
      </c>
      <c r="X196">
        <v>53</v>
      </c>
      <c r="Y196">
        <v>190</v>
      </c>
    </row>
    <row r="197" spans="2:26" x14ac:dyDescent="0.25">
      <c r="B197">
        <v>39</v>
      </c>
      <c r="I197" s="29"/>
      <c r="J197">
        <f t="shared" si="0"/>
        <v>99.666666666666671</v>
      </c>
      <c r="K197">
        <v>2</v>
      </c>
      <c r="L197">
        <v>3</v>
      </c>
      <c r="M197">
        <v>39</v>
      </c>
      <c r="N197">
        <v>70</v>
      </c>
      <c r="O197" s="29"/>
      <c r="P197">
        <f t="shared" si="1"/>
        <v>0.99833333333333329</v>
      </c>
      <c r="Q197">
        <v>1</v>
      </c>
      <c r="R197">
        <v>1</v>
      </c>
      <c r="S197">
        <v>115</v>
      </c>
      <c r="U197" s="29"/>
      <c r="V197">
        <f>590/600</f>
        <v>0.98333333333333328</v>
      </c>
      <c r="W197">
        <v>10</v>
      </c>
      <c r="X197">
        <v>12</v>
      </c>
    </row>
    <row r="198" spans="2:26" x14ac:dyDescent="0.25">
      <c r="B198">
        <v>40</v>
      </c>
      <c r="I198" s="29"/>
      <c r="O198" s="29"/>
      <c r="U198" s="29"/>
    </row>
    <row r="199" spans="2:26" x14ac:dyDescent="0.25">
      <c r="B199">
        <v>41</v>
      </c>
      <c r="D199">
        <v>99.666666666666671</v>
      </c>
      <c r="E199">
        <v>2</v>
      </c>
      <c r="F199">
        <v>2</v>
      </c>
      <c r="G199">
        <v>12</v>
      </c>
      <c r="H199">
        <v>68</v>
      </c>
      <c r="I199" s="29"/>
      <c r="J199">
        <f t="shared" si="0"/>
        <v>99.333333333333329</v>
      </c>
      <c r="K199">
        <v>4</v>
      </c>
      <c r="L199">
        <v>31</v>
      </c>
      <c r="M199">
        <v>110</v>
      </c>
      <c r="N199">
        <v>179</v>
      </c>
      <c r="O199" s="29"/>
      <c r="P199">
        <f t="shared" si="1"/>
        <v>0.95</v>
      </c>
      <c r="Q199">
        <v>30</v>
      </c>
      <c r="R199">
        <v>48</v>
      </c>
      <c r="S199">
        <v>332</v>
      </c>
      <c r="U199" s="29"/>
      <c r="V199">
        <f>558/600</f>
        <v>0.93</v>
      </c>
      <c r="W199">
        <v>42</v>
      </c>
      <c r="X199">
        <v>82</v>
      </c>
    </row>
    <row r="200" spans="2:26" x14ac:dyDescent="0.25">
      <c r="B200">
        <v>42</v>
      </c>
      <c r="D200">
        <v>99.833333333333329</v>
      </c>
      <c r="E200">
        <v>1</v>
      </c>
      <c r="F200">
        <v>5</v>
      </c>
      <c r="G200">
        <v>45</v>
      </c>
      <c r="I200" s="29"/>
      <c r="J200">
        <f t="shared" si="0"/>
        <v>94.166666666666671</v>
      </c>
      <c r="K200">
        <v>35</v>
      </c>
      <c r="L200">
        <v>53</v>
      </c>
      <c r="M200">
        <v>118</v>
      </c>
      <c r="N200">
        <v>118</v>
      </c>
      <c r="O200" s="29"/>
      <c r="P200">
        <f t="shared" si="1"/>
        <v>0.97499999999999998</v>
      </c>
      <c r="Q200">
        <v>15</v>
      </c>
      <c r="R200">
        <v>55</v>
      </c>
      <c r="S200">
        <v>392</v>
      </c>
      <c r="U200" s="29"/>
      <c r="V200">
        <f>265/600</f>
        <v>0.44166666666666665</v>
      </c>
      <c r="W200">
        <v>35</v>
      </c>
      <c r="X200">
        <v>53</v>
      </c>
    </row>
    <row r="201" spans="2:26" x14ac:dyDescent="0.25">
      <c r="B201">
        <v>43</v>
      </c>
      <c r="D201">
        <v>90.833333333333329</v>
      </c>
      <c r="E201">
        <v>55</v>
      </c>
      <c r="F201">
        <v>95</v>
      </c>
      <c r="G201">
        <v>110</v>
      </c>
      <c r="H201">
        <v>305</v>
      </c>
      <c r="I201" s="29"/>
      <c r="J201">
        <f t="shared" si="0"/>
        <v>97.5</v>
      </c>
      <c r="K201">
        <v>15</v>
      </c>
      <c r="L201">
        <v>20</v>
      </c>
      <c r="M201">
        <v>20</v>
      </c>
      <c r="N201">
        <v>155</v>
      </c>
      <c r="O201" s="29"/>
      <c r="P201">
        <f t="shared" si="1"/>
        <v>0.98666666666666669</v>
      </c>
      <c r="Q201">
        <v>8</v>
      </c>
      <c r="R201">
        <v>8</v>
      </c>
      <c r="S201">
        <v>177</v>
      </c>
      <c r="T201">
        <v>312</v>
      </c>
      <c r="U201" s="29"/>
    </row>
    <row r="202" spans="2:26" x14ac:dyDescent="0.25">
      <c r="B202">
        <v>44</v>
      </c>
      <c r="D202">
        <v>92.5</v>
      </c>
      <c r="E202">
        <v>45</v>
      </c>
      <c r="F202">
        <v>45</v>
      </c>
      <c r="G202">
        <v>55</v>
      </c>
      <c r="H202">
        <v>320</v>
      </c>
      <c r="I202" s="29"/>
      <c r="O202" s="29"/>
      <c r="U202" s="29"/>
    </row>
    <row r="203" spans="2:26" x14ac:dyDescent="0.25">
      <c r="B203">
        <v>45</v>
      </c>
      <c r="I203" s="29"/>
      <c r="J203">
        <f t="shared" si="0"/>
        <v>99.333333333333329</v>
      </c>
      <c r="K203">
        <v>4</v>
      </c>
      <c r="L203">
        <v>15</v>
      </c>
      <c r="M203">
        <v>77</v>
      </c>
      <c r="N203">
        <v>115</v>
      </c>
      <c r="O203" s="29"/>
      <c r="P203">
        <f t="shared" si="1"/>
        <v>0.83333333333333337</v>
      </c>
      <c r="Q203">
        <v>100</v>
      </c>
      <c r="R203">
        <v>210</v>
      </c>
      <c r="S203">
        <v>435</v>
      </c>
      <c r="U203" s="29"/>
      <c r="V203">
        <f>30/600</f>
        <v>0.05</v>
      </c>
      <c r="W203">
        <v>127</v>
      </c>
      <c r="X203">
        <v>86</v>
      </c>
    </row>
    <row r="204" spans="2:26" x14ac:dyDescent="0.25">
      <c r="B204">
        <v>46</v>
      </c>
      <c r="D204">
        <v>99.5</v>
      </c>
      <c r="E204">
        <v>3</v>
      </c>
      <c r="F204">
        <v>3</v>
      </c>
      <c r="G204">
        <v>55</v>
      </c>
      <c r="H204">
        <v>90</v>
      </c>
      <c r="I204" s="29"/>
      <c r="J204">
        <f t="shared" si="0"/>
        <v>98.666666666666671</v>
      </c>
      <c r="K204">
        <v>8</v>
      </c>
      <c r="L204">
        <v>9</v>
      </c>
      <c r="M204">
        <v>85</v>
      </c>
      <c r="N204">
        <v>530</v>
      </c>
      <c r="O204" s="29"/>
      <c r="P204">
        <f t="shared" si="1"/>
        <v>0.96</v>
      </c>
      <c r="Q204">
        <v>24</v>
      </c>
      <c r="R204">
        <v>43</v>
      </c>
      <c r="S204">
        <v>189</v>
      </c>
      <c r="T204">
        <v>512</v>
      </c>
      <c r="U204" s="29"/>
      <c r="V204">
        <f>575/600</f>
        <v>0.95833333333333337</v>
      </c>
      <c r="W204">
        <v>25</v>
      </c>
      <c r="X204">
        <v>56</v>
      </c>
      <c r="Y204">
        <v>295</v>
      </c>
      <c r="Z204">
        <v>303</v>
      </c>
    </row>
    <row r="205" spans="2:26" x14ac:dyDescent="0.25">
      <c r="B205">
        <v>47</v>
      </c>
      <c r="D205">
        <v>98.666666666666671</v>
      </c>
      <c r="E205">
        <v>8</v>
      </c>
      <c r="F205">
        <v>10</v>
      </c>
      <c r="G205">
        <v>115</v>
      </c>
      <c r="H205">
        <v>115</v>
      </c>
      <c r="I205" s="29"/>
      <c r="J205">
        <f t="shared" si="0"/>
        <v>93.166666666666671</v>
      </c>
      <c r="K205">
        <v>41</v>
      </c>
      <c r="L205">
        <v>41</v>
      </c>
      <c r="M205">
        <v>115</v>
      </c>
      <c r="N205">
        <v>230</v>
      </c>
      <c r="O205" s="29"/>
      <c r="P205">
        <f t="shared" si="1"/>
        <v>0.96833333333333338</v>
      </c>
      <c r="Q205">
        <v>19</v>
      </c>
      <c r="R205">
        <v>19</v>
      </c>
      <c r="S205">
        <v>120</v>
      </c>
      <c r="U205" s="29"/>
      <c r="V205">
        <f>380/600</f>
        <v>0.6333333333333333</v>
      </c>
      <c r="W205">
        <v>60</v>
      </c>
      <c r="X205">
        <v>61</v>
      </c>
      <c r="Y205">
        <v>126</v>
      </c>
      <c r="Z205">
        <v>127</v>
      </c>
    </row>
    <row r="206" spans="2:26" x14ac:dyDescent="0.25">
      <c r="B206">
        <v>48</v>
      </c>
      <c r="D206">
        <v>96.333333333333329</v>
      </c>
      <c r="E206">
        <v>22</v>
      </c>
      <c r="F206">
        <v>22</v>
      </c>
      <c r="G206">
        <v>55</v>
      </c>
      <c r="H206">
        <v>140</v>
      </c>
      <c r="I206" s="29"/>
      <c r="J206">
        <f t="shared" si="0"/>
        <v>95.333333333333329</v>
      </c>
      <c r="K206">
        <v>28</v>
      </c>
      <c r="L206">
        <v>35</v>
      </c>
      <c r="M206">
        <v>62</v>
      </c>
      <c r="N206">
        <v>90</v>
      </c>
      <c r="O206" s="29"/>
      <c r="U206" s="29"/>
      <c r="V206">
        <v>0</v>
      </c>
    </row>
    <row r="207" spans="2:26" x14ac:dyDescent="0.25">
      <c r="B207">
        <v>49</v>
      </c>
      <c r="D207">
        <v>99.833333333333329</v>
      </c>
      <c r="E207">
        <v>1</v>
      </c>
      <c r="F207">
        <v>4</v>
      </c>
      <c r="G207">
        <v>65</v>
      </c>
      <c r="H207">
        <v>525</v>
      </c>
      <c r="I207" s="29"/>
      <c r="J207">
        <f t="shared" si="0"/>
        <v>94.833333333333329</v>
      </c>
      <c r="K207">
        <v>31</v>
      </c>
      <c r="L207">
        <v>45</v>
      </c>
      <c r="M207">
        <v>110</v>
      </c>
      <c r="N207">
        <v>170</v>
      </c>
      <c r="O207" s="29"/>
      <c r="U207" s="29"/>
    </row>
    <row r="208" spans="2:26" x14ac:dyDescent="0.25">
      <c r="B208">
        <v>50</v>
      </c>
      <c r="I208" s="29"/>
      <c r="O208" s="29"/>
      <c r="U208" s="29"/>
    </row>
  </sheetData>
  <mergeCells count="16">
    <mergeCell ref="AC75:AF75"/>
    <mergeCell ref="D6:H6"/>
    <mergeCell ref="L6:P6"/>
    <mergeCell ref="T6:X6"/>
    <mergeCell ref="AB6:AF6"/>
    <mergeCell ref="E7:H7"/>
    <mergeCell ref="M7:P7"/>
    <mergeCell ref="U7:X7"/>
    <mergeCell ref="AB7:AF7"/>
    <mergeCell ref="D156:H156"/>
    <mergeCell ref="J156:N156"/>
    <mergeCell ref="P156:T156"/>
    <mergeCell ref="V156:Z156"/>
    <mergeCell ref="E75:H75"/>
    <mergeCell ref="M75:P75"/>
    <mergeCell ref="U75:X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26"/>
  <sheetViews>
    <sheetView tabSelected="1" topLeftCell="A97" zoomScale="73" zoomScaleNormal="73" workbookViewId="0">
      <selection activeCell="K123" sqref="K123"/>
    </sheetView>
  </sheetViews>
  <sheetFormatPr baseColWidth="10" defaultColWidth="9.140625" defaultRowHeight="15" x14ac:dyDescent="0.25"/>
  <sheetData>
    <row r="2" spans="1:12" ht="21" x14ac:dyDescent="0.35">
      <c r="A2" s="2" t="s">
        <v>59</v>
      </c>
    </row>
    <row r="4" spans="1:12" ht="21" x14ac:dyDescent="0.35">
      <c r="A4" s="2" t="s">
        <v>44</v>
      </c>
      <c r="C4" s="35" t="s">
        <v>39</v>
      </c>
      <c r="D4" s="35"/>
      <c r="E4" s="35" t="s">
        <v>40</v>
      </c>
      <c r="F4" s="35"/>
      <c r="G4" s="35" t="s">
        <v>41</v>
      </c>
      <c r="H4" s="35"/>
      <c r="I4" s="35" t="s">
        <v>42</v>
      </c>
      <c r="J4" s="35"/>
      <c r="K4" s="35" t="s">
        <v>43</v>
      </c>
      <c r="L4" s="35"/>
    </row>
    <row r="5" spans="1:12" x14ac:dyDescent="0.25">
      <c r="C5" t="s">
        <v>57</v>
      </c>
      <c r="D5" t="s">
        <v>58</v>
      </c>
      <c r="E5" t="s">
        <v>57</v>
      </c>
      <c r="F5" t="s">
        <v>58</v>
      </c>
      <c r="G5" t="s">
        <v>57</v>
      </c>
      <c r="H5" t="s">
        <v>58</v>
      </c>
      <c r="I5" t="s">
        <v>57</v>
      </c>
      <c r="J5" t="s">
        <v>58</v>
      </c>
      <c r="K5" t="s">
        <v>57</v>
      </c>
      <c r="L5" t="s">
        <v>58</v>
      </c>
    </row>
    <row r="6" spans="1:12" x14ac:dyDescent="0.25">
      <c r="C6">
        <v>72</v>
      </c>
      <c r="D6">
        <v>32</v>
      </c>
      <c r="E6">
        <v>42</v>
      </c>
      <c r="F6">
        <v>16</v>
      </c>
      <c r="G6">
        <v>15</v>
      </c>
      <c r="H6">
        <v>17</v>
      </c>
      <c r="I6">
        <v>25</v>
      </c>
      <c r="J6">
        <v>28</v>
      </c>
      <c r="K6">
        <v>43</v>
      </c>
      <c r="L6">
        <v>28</v>
      </c>
    </row>
    <row r="7" spans="1:12" x14ac:dyDescent="0.25">
      <c r="C7">
        <v>82</v>
      </c>
      <c r="D7">
        <v>46</v>
      </c>
      <c r="E7">
        <v>80</v>
      </c>
      <c r="F7">
        <v>83</v>
      </c>
      <c r="G7">
        <v>65</v>
      </c>
      <c r="H7">
        <v>30</v>
      </c>
      <c r="I7">
        <v>72</v>
      </c>
      <c r="J7">
        <v>49</v>
      </c>
      <c r="L7">
        <v>22</v>
      </c>
    </row>
    <row r="8" spans="1:12" x14ac:dyDescent="0.25">
      <c r="C8">
        <v>12</v>
      </c>
      <c r="D8">
        <v>12</v>
      </c>
      <c r="E8">
        <v>130</v>
      </c>
      <c r="F8">
        <v>139</v>
      </c>
      <c r="G8">
        <v>42</v>
      </c>
      <c r="H8">
        <v>13</v>
      </c>
      <c r="I8">
        <v>13</v>
      </c>
      <c r="J8">
        <v>40</v>
      </c>
      <c r="K8">
        <v>18</v>
      </c>
      <c r="L8">
        <v>19</v>
      </c>
    </row>
    <row r="9" spans="1:12" x14ac:dyDescent="0.25">
      <c r="C9">
        <v>76</v>
      </c>
      <c r="D9">
        <v>26</v>
      </c>
      <c r="E9">
        <v>34</v>
      </c>
      <c r="F9">
        <v>22</v>
      </c>
      <c r="G9">
        <v>10</v>
      </c>
      <c r="H9">
        <v>4</v>
      </c>
      <c r="I9">
        <v>275</v>
      </c>
      <c r="J9">
        <v>421</v>
      </c>
      <c r="K9">
        <v>53</v>
      </c>
      <c r="L9">
        <v>30</v>
      </c>
    </row>
    <row r="10" spans="1:12" x14ac:dyDescent="0.25">
      <c r="C10">
        <v>19</v>
      </c>
      <c r="D10">
        <v>6</v>
      </c>
      <c r="E10">
        <v>85</v>
      </c>
      <c r="F10">
        <v>7</v>
      </c>
      <c r="G10">
        <v>34</v>
      </c>
      <c r="H10">
        <v>22</v>
      </c>
      <c r="I10">
        <v>238</v>
      </c>
      <c r="J10">
        <v>10</v>
      </c>
      <c r="K10">
        <v>28</v>
      </c>
      <c r="L10">
        <v>7</v>
      </c>
    </row>
    <row r="11" spans="1:12" x14ac:dyDescent="0.25">
      <c r="C11">
        <v>9</v>
      </c>
      <c r="D11">
        <v>11</v>
      </c>
      <c r="F11">
        <v>75</v>
      </c>
      <c r="G11">
        <v>52</v>
      </c>
      <c r="H11">
        <v>130</v>
      </c>
      <c r="I11">
        <v>59</v>
      </c>
      <c r="J11">
        <v>18</v>
      </c>
      <c r="K11">
        <v>6</v>
      </c>
      <c r="L11">
        <v>22</v>
      </c>
    </row>
    <row r="12" spans="1:12" x14ac:dyDescent="0.25">
      <c r="C12">
        <v>10</v>
      </c>
      <c r="D12">
        <v>80</v>
      </c>
      <c r="E12">
        <v>12</v>
      </c>
      <c r="F12">
        <v>14</v>
      </c>
      <c r="G12">
        <v>34</v>
      </c>
      <c r="H12">
        <v>40</v>
      </c>
      <c r="I12">
        <v>14</v>
      </c>
      <c r="J12">
        <v>40</v>
      </c>
      <c r="K12">
        <v>6</v>
      </c>
      <c r="L12">
        <v>39</v>
      </c>
    </row>
    <row r="13" spans="1:12" x14ac:dyDescent="0.25">
      <c r="C13">
        <v>13</v>
      </c>
      <c r="D13">
        <v>13</v>
      </c>
      <c r="E13">
        <v>40</v>
      </c>
      <c r="F13">
        <v>15</v>
      </c>
      <c r="G13">
        <v>38</v>
      </c>
      <c r="H13">
        <v>11</v>
      </c>
      <c r="I13">
        <v>106</v>
      </c>
      <c r="J13">
        <v>41</v>
      </c>
      <c r="K13">
        <v>41</v>
      </c>
      <c r="L13">
        <v>9</v>
      </c>
    </row>
    <row r="14" spans="1:12" x14ac:dyDescent="0.25">
      <c r="C14">
        <v>2</v>
      </c>
      <c r="D14">
        <v>2</v>
      </c>
      <c r="E14">
        <v>77</v>
      </c>
      <c r="F14">
        <v>43</v>
      </c>
      <c r="G14">
        <v>34</v>
      </c>
      <c r="H14">
        <v>16</v>
      </c>
      <c r="I14">
        <v>28</v>
      </c>
      <c r="J14">
        <v>40</v>
      </c>
      <c r="K14">
        <v>34</v>
      </c>
      <c r="L14">
        <v>7</v>
      </c>
    </row>
    <row r="15" spans="1:12" x14ac:dyDescent="0.25">
      <c r="C15">
        <v>129</v>
      </c>
      <c r="D15">
        <v>35</v>
      </c>
      <c r="E15">
        <v>76</v>
      </c>
      <c r="F15">
        <v>159</v>
      </c>
      <c r="G15">
        <v>67</v>
      </c>
      <c r="H15">
        <v>10</v>
      </c>
      <c r="J15">
        <v>40</v>
      </c>
      <c r="K15">
        <v>110</v>
      </c>
      <c r="L15">
        <v>29</v>
      </c>
    </row>
    <row r="16" spans="1:12" x14ac:dyDescent="0.25">
      <c r="D16">
        <v>18</v>
      </c>
      <c r="E16">
        <v>59</v>
      </c>
      <c r="F16">
        <v>51</v>
      </c>
      <c r="G16">
        <v>93</v>
      </c>
      <c r="H16">
        <v>52</v>
      </c>
      <c r="I16">
        <v>109</v>
      </c>
      <c r="J16">
        <v>8</v>
      </c>
      <c r="K16">
        <v>31</v>
      </c>
      <c r="L16">
        <v>13</v>
      </c>
    </row>
    <row r="17" spans="3:8" x14ac:dyDescent="0.25">
      <c r="C17">
        <v>16</v>
      </c>
      <c r="D17">
        <v>7</v>
      </c>
      <c r="E17">
        <v>14</v>
      </c>
      <c r="F17">
        <v>9</v>
      </c>
      <c r="G17">
        <v>119</v>
      </c>
      <c r="H17">
        <v>78</v>
      </c>
    </row>
    <row r="18" spans="3:8" x14ac:dyDescent="0.25">
      <c r="C18">
        <v>30</v>
      </c>
      <c r="D18">
        <v>39</v>
      </c>
      <c r="E18">
        <v>9</v>
      </c>
      <c r="F18">
        <v>22</v>
      </c>
      <c r="G18">
        <v>17</v>
      </c>
      <c r="H18">
        <v>14</v>
      </c>
    </row>
    <row r="19" spans="3:8" x14ac:dyDescent="0.25">
      <c r="C19">
        <v>410</v>
      </c>
      <c r="D19">
        <v>57</v>
      </c>
      <c r="E19">
        <v>20</v>
      </c>
      <c r="F19">
        <v>14</v>
      </c>
      <c r="G19">
        <v>45</v>
      </c>
      <c r="H19">
        <v>160</v>
      </c>
    </row>
    <row r="20" spans="3:8" x14ac:dyDescent="0.25">
      <c r="C20">
        <v>67</v>
      </c>
      <c r="D20">
        <v>35</v>
      </c>
      <c r="E20">
        <v>46</v>
      </c>
      <c r="F20">
        <v>66</v>
      </c>
      <c r="G20">
        <v>64</v>
      </c>
      <c r="H20">
        <v>2</v>
      </c>
    </row>
    <row r="21" spans="3:8" x14ac:dyDescent="0.25">
      <c r="E21">
        <v>15</v>
      </c>
      <c r="F21">
        <v>9</v>
      </c>
      <c r="G21">
        <v>45</v>
      </c>
      <c r="H21">
        <v>160</v>
      </c>
    </row>
    <row r="22" spans="3:8" x14ac:dyDescent="0.25">
      <c r="C22">
        <v>10</v>
      </c>
      <c r="D22">
        <v>9</v>
      </c>
      <c r="E22">
        <v>44</v>
      </c>
      <c r="F22">
        <v>14</v>
      </c>
      <c r="G22">
        <v>64</v>
      </c>
      <c r="H22">
        <v>2</v>
      </c>
    </row>
    <row r="23" spans="3:8" x14ac:dyDescent="0.25">
      <c r="C23">
        <v>14</v>
      </c>
      <c r="D23">
        <v>12</v>
      </c>
    </row>
    <row r="24" spans="3:8" x14ac:dyDescent="0.25">
      <c r="C24">
        <v>13</v>
      </c>
      <c r="D24">
        <v>4</v>
      </c>
    </row>
    <row r="25" spans="3:8" x14ac:dyDescent="0.25">
      <c r="C25">
        <v>108</v>
      </c>
      <c r="D25">
        <v>29</v>
      </c>
    </row>
    <row r="26" spans="3:8" x14ac:dyDescent="0.25">
      <c r="C26">
        <v>13</v>
      </c>
      <c r="D26">
        <v>29</v>
      </c>
    </row>
    <row r="27" spans="3:8" x14ac:dyDescent="0.25">
      <c r="C27">
        <v>114</v>
      </c>
      <c r="D27">
        <v>60</v>
      </c>
    </row>
    <row r="28" spans="3:8" x14ac:dyDescent="0.25">
      <c r="C28">
        <v>20</v>
      </c>
      <c r="D28">
        <v>31</v>
      </c>
    </row>
    <row r="29" spans="3:8" x14ac:dyDescent="0.25">
      <c r="C29">
        <v>110</v>
      </c>
      <c r="D29">
        <v>64</v>
      </c>
    </row>
    <row r="30" spans="3:8" x14ac:dyDescent="0.25">
      <c r="C30">
        <v>52</v>
      </c>
      <c r="D30">
        <v>31</v>
      </c>
    </row>
    <row r="34" spans="1:12" ht="21" x14ac:dyDescent="0.35">
      <c r="A34" s="2" t="s">
        <v>60</v>
      </c>
    </row>
    <row r="36" spans="1:12" ht="21" x14ac:dyDescent="0.35">
      <c r="A36" s="2" t="s">
        <v>44</v>
      </c>
      <c r="C36" s="35" t="s">
        <v>39</v>
      </c>
      <c r="D36" s="35"/>
      <c r="E36" s="35" t="s">
        <v>40</v>
      </c>
      <c r="F36" s="35"/>
      <c r="G36" s="35" t="s">
        <v>41</v>
      </c>
      <c r="H36" s="35"/>
      <c r="I36" s="35" t="s">
        <v>42</v>
      </c>
      <c r="J36" s="35"/>
      <c r="K36" s="35" t="s">
        <v>43</v>
      </c>
      <c r="L36" s="35"/>
    </row>
    <row r="37" spans="1:12" x14ac:dyDescent="0.25">
      <c r="C37" t="s">
        <v>57</v>
      </c>
      <c r="D37" t="s">
        <v>58</v>
      </c>
      <c r="E37" t="s">
        <v>57</v>
      </c>
      <c r="F37" t="s">
        <v>58</v>
      </c>
      <c r="G37" t="s">
        <v>57</v>
      </c>
      <c r="H37" t="s">
        <v>58</v>
      </c>
      <c r="I37" t="s">
        <v>57</v>
      </c>
      <c r="J37" t="s">
        <v>58</v>
      </c>
      <c r="K37" t="s">
        <v>57</v>
      </c>
      <c r="L37" t="s">
        <v>58</v>
      </c>
    </row>
    <row r="38" spans="1:12" x14ac:dyDescent="0.25">
      <c r="C38">
        <v>571</v>
      </c>
      <c r="D38">
        <v>34</v>
      </c>
      <c r="E38">
        <v>71</v>
      </c>
      <c r="F38">
        <v>21</v>
      </c>
      <c r="G38">
        <v>17</v>
      </c>
      <c r="H38">
        <v>23</v>
      </c>
      <c r="I38">
        <v>54</v>
      </c>
      <c r="J38">
        <v>54</v>
      </c>
      <c r="K38">
        <v>51</v>
      </c>
      <c r="L38">
        <v>30</v>
      </c>
    </row>
    <row r="39" spans="1:12" x14ac:dyDescent="0.25">
      <c r="C39">
        <v>259</v>
      </c>
      <c r="D39">
        <v>48</v>
      </c>
      <c r="E39">
        <v>285</v>
      </c>
      <c r="G39">
        <v>66</v>
      </c>
      <c r="H39">
        <v>55</v>
      </c>
    </row>
    <row r="40" spans="1:12" x14ac:dyDescent="0.25">
      <c r="C40">
        <v>14</v>
      </c>
      <c r="D40">
        <v>30</v>
      </c>
      <c r="E40">
        <v>135</v>
      </c>
      <c r="I40">
        <v>79</v>
      </c>
      <c r="J40">
        <v>76</v>
      </c>
      <c r="L40">
        <v>176</v>
      </c>
    </row>
    <row r="41" spans="1:12" x14ac:dyDescent="0.25">
      <c r="C41">
        <v>113</v>
      </c>
      <c r="D41">
        <v>27</v>
      </c>
      <c r="E41">
        <v>43</v>
      </c>
      <c r="F41">
        <v>34</v>
      </c>
      <c r="G41">
        <v>12</v>
      </c>
      <c r="H41">
        <v>27</v>
      </c>
      <c r="K41">
        <v>73</v>
      </c>
      <c r="L41">
        <v>112</v>
      </c>
    </row>
    <row r="42" spans="1:12" x14ac:dyDescent="0.25">
      <c r="C42">
        <v>25</v>
      </c>
      <c r="D42">
        <v>9</v>
      </c>
      <c r="E42">
        <v>102</v>
      </c>
      <c r="F42">
        <v>8</v>
      </c>
      <c r="G42">
        <v>36</v>
      </c>
      <c r="H42">
        <v>33</v>
      </c>
      <c r="I42">
        <v>342</v>
      </c>
      <c r="J42">
        <v>33</v>
      </c>
      <c r="K42">
        <v>36</v>
      </c>
      <c r="L42">
        <v>11</v>
      </c>
    </row>
    <row r="43" spans="1:12" x14ac:dyDescent="0.25">
      <c r="C43">
        <v>10</v>
      </c>
      <c r="D43">
        <v>12</v>
      </c>
      <c r="I43">
        <v>60</v>
      </c>
      <c r="J43">
        <v>20</v>
      </c>
      <c r="K43">
        <v>7</v>
      </c>
      <c r="L43">
        <v>40</v>
      </c>
    </row>
    <row r="44" spans="1:12" x14ac:dyDescent="0.25">
      <c r="C44">
        <v>11</v>
      </c>
      <c r="D44">
        <v>86</v>
      </c>
      <c r="E44">
        <v>17</v>
      </c>
      <c r="F44">
        <v>16</v>
      </c>
      <c r="H44">
        <v>322</v>
      </c>
      <c r="I44">
        <v>26</v>
      </c>
      <c r="J44">
        <v>50</v>
      </c>
      <c r="K44">
        <v>427</v>
      </c>
    </row>
    <row r="45" spans="1:12" x14ac:dyDescent="0.25">
      <c r="C45">
        <v>51</v>
      </c>
      <c r="D45">
        <v>25</v>
      </c>
      <c r="E45">
        <v>47</v>
      </c>
      <c r="F45">
        <v>99</v>
      </c>
      <c r="G45">
        <v>44</v>
      </c>
      <c r="H45">
        <v>106</v>
      </c>
      <c r="J45">
        <v>63</v>
      </c>
      <c r="K45">
        <v>113</v>
      </c>
      <c r="L45">
        <v>57</v>
      </c>
    </row>
    <row r="46" spans="1:12" x14ac:dyDescent="0.25">
      <c r="C46">
        <v>4</v>
      </c>
      <c r="D46">
        <v>3</v>
      </c>
      <c r="H46">
        <v>214</v>
      </c>
      <c r="J46">
        <v>256</v>
      </c>
      <c r="K46">
        <v>128</v>
      </c>
      <c r="L46">
        <v>264</v>
      </c>
    </row>
    <row r="47" spans="1:12" x14ac:dyDescent="0.25">
      <c r="C47">
        <v>234</v>
      </c>
      <c r="D47">
        <v>161</v>
      </c>
      <c r="F47">
        <v>271</v>
      </c>
      <c r="G47">
        <v>233</v>
      </c>
      <c r="H47">
        <v>19</v>
      </c>
      <c r="K47">
        <v>39</v>
      </c>
      <c r="L47">
        <v>33</v>
      </c>
    </row>
    <row r="48" spans="1:12" x14ac:dyDescent="0.25">
      <c r="D48">
        <v>532</v>
      </c>
      <c r="E48">
        <v>66</v>
      </c>
      <c r="F48">
        <v>54</v>
      </c>
      <c r="G48">
        <v>95</v>
      </c>
      <c r="H48">
        <v>240</v>
      </c>
      <c r="I48">
        <v>150</v>
      </c>
      <c r="J48">
        <v>52</v>
      </c>
      <c r="K48">
        <v>45</v>
      </c>
      <c r="L48">
        <v>15</v>
      </c>
    </row>
    <row r="49" spans="3:8" x14ac:dyDescent="0.25">
      <c r="C49">
        <v>34</v>
      </c>
      <c r="D49">
        <v>9</v>
      </c>
      <c r="E49">
        <v>21</v>
      </c>
      <c r="F49">
        <v>45</v>
      </c>
      <c r="G49">
        <v>123</v>
      </c>
      <c r="H49">
        <v>97</v>
      </c>
    </row>
    <row r="50" spans="3:8" x14ac:dyDescent="0.25">
      <c r="C50">
        <v>32</v>
      </c>
      <c r="D50">
        <v>88</v>
      </c>
      <c r="E50">
        <v>15</v>
      </c>
      <c r="F50">
        <v>30</v>
      </c>
      <c r="G50">
        <v>157</v>
      </c>
      <c r="H50">
        <v>29</v>
      </c>
    </row>
    <row r="51" spans="3:8" x14ac:dyDescent="0.25">
      <c r="C51">
        <v>421</v>
      </c>
      <c r="D51">
        <v>385</v>
      </c>
      <c r="E51">
        <v>24</v>
      </c>
      <c r="F51">
        <v>17</v>
      </c>
      <c r="G51">
        <v>345</v>
      </c>
      <c r="H51">
        <v>181</v>
      </c>
    </row>
    <row r="52" spans="3:8" x14ac:dyDescent="0.25">
      <c r="C52">
        <v>161</v>
      </c>
      <c r="D52">
        <v>36</v>
      </c>
      <c r="F52">
        <v>326</v>
      </c>
      <c r="G52">
        <v>97</v>
      </c>
      <c r="H52">
        <v>31</v>
      </c>
    </row>
    <row r="53" spans="3:8" x14ac:dyDescent="0.25">
      <c r="E53">
        <v>28</v>
      </c>
      <c r="F53">
        <v>24</v>
      </c>
      <c r="G53">
        <v>345</v>
      </c>
      <c r="H53">
        <v>181</v>
      </c>
    </row>
    <row r="54" spans="3:8" x14ac:dyDescent="0.25">
      <c r="C54">
        <v>38</v>
      </c>
      <c r="D54">
        <v>10</v>
      </c>
      <c r="E54">
        <v>50</v>
      </c>
      <c r="F54">
        <v>127</v>
      </c>
      <c r="G54">
        <v>97</v>
      </c>
      <c r="H54">
        <v>31</v>
      </c>
    </row>
    <row r="55" spans="3:8" x14ac:dyDescent="0.25">
      <c r="C55">
        <v>20</v>
      </c>
      <c r="D55">
        <v>27</v>
      </c>
    </row>
    <row r="57" spans="3:8" x14ac:dyDescent="0.25">
      <c r="C57">
        <v>300</v>
      </c>
      <c r="D57">
        <v>46</v>
      </c>
    </row>
    <row r="58" spans="3:8" x14ac:dyDescent="0.25">
      <c r="C58">
        <v>23</v>
      </c>
      <c r="D58">
        <v>34</v>
      </c>
    </row>
    <row r="59" spans="3:8" x14ac:dyDescent="0.25">
      <c r="D59">
        <v>241</v>
      </c>
    </row>
    <row r="60" spans="3:8" x14ac:dyDescent="0.25">
      <c r="D60">
        <v>48</v>
      </c>
    </row>
    <row r="61" spans="3:8" x14ac:dyDescent="0.25">
      <c r="D61">
        <v>72</v>
      </c>
    </row>
    <row r="62" spans="3:8" x14ac:dyDescent="0.25">
      <c r="C62">
        <v>66</v>
      </c>
      <c r="D62">
        <v>34</v>
      </c>
    </row>
    <row r="66" spans="1:12" ht="21" x14ac:dyDescent="0.35">
      <c r="A66" s="2" t="s">
        <v>61</v>
      </c>
    </row>
    <row r="68" spans="1:12" ht="21" x14ac:dyDescent="0.35">
      <c r="A68" s="2" t="s">
        <v>44</v>
      </c>
      <c r="C68" s="35" t="s">
        <v>39</v>
      </c>
      <c r="D68" s="35"/>
      <c r="E68" s="35" t="s">
        <v>40</v>
      </c>
      <c r="F68" s="35"/>
      <c r="G68" s="35" t="s">
        <v>41</v>
      </c>
      <c r="H68" s="35"/>
      <c r="I68" s="35" t="s">
        <v>42</v>
      </c>
      <c r="J68" s="35"/>
      <c r="K68" s="35" t="s">
        <v>43</v>
      </c>
      <c r="L68" s="35"/>
    </row>
    <row r="69" spans="1:12" x14ac:dyDescent="0.25">
      <c r="C69" t="s">
        <v>57</v>
      </c>
      <c r="D69" t="s">
        <v>58</v>
      </c>
      <c r="E69" t="s">
        <v>57</v>
      </c>
      <c r="F69" t="s">
        <v>58</v>
      </c>
      <c r="G69" t="s">
        <v>57</v>
      </c>
      <c r="H69" t="s">
        <v>58</v>
      </c>
      <c r="I69" t="s">
        <v>57</v>
      </c>
      <c r="J69" t="s">
        <v>58</v>
      </c>
      <c r="K69" t="s">
        <v>57</v>
      </c>
      <c r="L69" t="s">
        <v>58</v>
      </c>
    </row>
    <row r="70" spans="1:12" x14ac:dyDescent="0.25">
      <c r="D70">
        <v>232</v>
      </c>
      <c r="E70">
        <v>294</v>
      </c>
      <c r="F70">
        <v>87</v>
      </c>
      <c r="G70">
        <v>331</v>
      </c>
      <c r="H70">
        <v>96</v>
      </c>
      <c r="I70">
        <v>185</v>
      </c>
      <c r="J70">
        <v>283</v>
      </c>
      <c r="K70">
        <v>296</v>
      </c>
      <c r="L70">
        <v>240</v>
      </c>
    </row>
    <row r="71" spans="1:12" x14ac:dyDescent="0.25">
      <c r="C71">
        <v>516</v>
      </c>
      <c r="D71">
        <v>130</v>
      </c>
      <c r="E71">
        <v>342</v>
      </c>
      <c r="G71">
        <v>524</v>
      </c>
    </row>
    <row r="72" spans="1:12" x14ac:dyDescent="0.25">
      <c r="C72">
        <v>327</v>
      </c>
      <c r="D72">
        <v>333</v>
      </c>
      <c r="H72">
        <v>372</v>
      </c>
      <c r="I72">
        <v>71</v>
      </c>
      <c r="J72">
        <v>70</v>
      </c>
      <c r="L72">
        <v>219</v>
      </c>
    </row>
    <row r="73" spans="1:12" x14ac:dyDescent="0.25">
      <c r="D73">
        <v>89</v>
      </c>
      <c r="E73">
        <v>238</v>
      </c>
      <c r="F73">
        <v>120</v>
      </c>
      <c r="G73">
        <v>94</v>
      </c>
      <c r="H73">
        <v>234</v>
      </c>
      <c r="K73">
        <v>213</v>
      </c>
      <c r="L73">
        <v>195</v>
      </c>
    </row>
    <row r="74" spans="1:12" x14ac:dyDescent="0.25">
      <c r="C74">
        <v>60</v>
      </c>
      <c r="D74">
        <v>67</v>
      </c>
      <c r="E74">
        <v>227</v>
      </c>
      <c r="F74">
        <v>20</v>
      </c>
      <c r="G74">
        <v>206</v>
      </c>
      <c r="H74">
        <v>69</v>
      </c>
      <c r="I74">
        <v>353</v>
      </c>
      <c r="J74">
        <v>54</v>
      </c>
      <c r="K74">
        <v>194</v>
      </c>
      <c r="L74">
        <v>48</v>
      </c>
    </row>
    <row r="75" spans="1:12" x14ac:dyDescent="0.25">
      <c r="C75">
        <v>135</v>
      </c>
      <c r="D75">
        <v>26</v>
      </c>
      <c r="H75">
        <v>296</v>
      </c>
      <c r="I75">
        <v>146</v>
      </c>
      <c r="K75">
        <v>289</v>
      </c>
      <c r="L75">
        <v>157</v>
      </c>
    </row>
    <row r="76" spans="1:12" x14ac:dyDescent="0.25">
      <c r="C76">
        <v>174</v>
      </c>
      <c r="D76">
        <v>428</v>
      </c>
      <c r="E76">
        <v>76</v>
      </c>
      <c r="F76">
        <v>48</v>
      </c>
      <c r="I76">
        <v>312</v>
      </c>
      <c r="J76">
        <v>216</v>
      </c>
    </row>
    <row r="77" spans="1:12" x14ac:dyDescent="0.25">
      <c r="C77">
        <v>150</v>
      </c>
      <c r="D77">
        <v>28</v>
      </c>
      <c r="G77">
        <v>52</v>
      </c>
      <c r="I77">
        <v>312</v>
      </c>
      <c r="J77">
        <v>67</v>
      </c>
      <c r="K77">
        <v>117</v>
      </c>
      <c r="L77">
        <v>111</v>
      </c>
    </row>
    <row r="78" spans="1:12" x14ac:dyDescent="0.25">
      <c r="C78">
        <v>44</v>
      </c>
      <c r="D78">
        <v>23</v>
      </c>
    </row>
    <row r="79" spans="1:12" x14ac:dyDescent="0.25">
      <c r="D79">
        <v>240</v>
      </c>
      <c r="F79">
        <v>182</v>
      </c>
      <c r="G79">
        <v>243</v>
      </c>
      <c r="H79">
        <v>30</v>
      </c>
      <c r="K79">
        <v>535</v>
      </c>
      <c r="L79">
        <v>32</v>
      </c>
    </row>
    <row r="80" spans="1:12" x14ac:dyDescent="0.25">
      <c r="E80">
        <v>240</v>
      </c>
      <c r="I80">
        <v>176</v>
      </c>
      <c r="J80">
        <v>47</v>
      </c>
      <c r="K80">
        <v>126</v>
      </c>
      <c r="L80">
        <v>74</v>
      </c>
    </row>
    <row r="81" spans="3:8" x14ac:dyDescent="0.25">
      <c r="C81">
        <v>66</v>
      </c>
      <c r="D81">
        <v>37</v>
      </c>
      <c r="E81">
        <v>208</v>
      </c>
      <c r="F81">
        <v>199</v>
      </c>
      <c r="G81">
        <v>234</v>
      </c>
      <c r="H81">
        <v>145</v>
      </c>
    </row>
    <row r="82" spans="3:8" x14ac:dyDescent="0.25">
      <c r="C82">
        <v>35</v>
      </c>
      <c r="E82">
        <v>353</v>
      </c>
      <c r="F82">
        <v>335</v>
      </c>
      <c r="G82">
        <v>257</v>
      </c>
      <c r="H82">
        <v>61</v>
      </c>
    </row>
    <row r="83" spans="3:8" x14ac:dyDescent="0.25">
      <c r="E83">
        <v>84</v>
      </c>
      <c r="F83">
        <v>35</v>
      </c>
      <c r="G83">
        <v>540</v>
      </c>
    </row>
    <row r="84" spans="3:8" x14ac:dyDescent="0.25">
      <c r="D84">
        <v>490</v>
      </c>
      <c r="F84">
        <v>327</v>
      </c>
      <c r="G84">
        <v>120</v>
      </c>
      <c r="H84">
        <v>64</v>
      </c>
    </row>
    <row r="85" spans="3:8" x14ac:dyDescent="0.25">
      <c r="E85">
        <v>67</v>
      </c>
      <c r="F85">
        <v>177</v>
      </c>
      <c r="G85">
        <v>540</v>
      </c>
    </row>
    <row r="86" spans="3:8" x14ac:dyDescent="0.25">
      <c r="C86">
        <v>114</v>
      </c>
      <c r="D86">
        <v>34</v>
      </c>
      <c r="E86">
        <v>360</v>
      </c>
      <c r="G86">
        <v>120</v>
      </c>
      <c r="H86">
        <v>64</v>
      </c>
    </row>
    <row r="87" spans="3:8" x14ac:dyDescent="0.25">
      <c r="C87">
        <v>214</v>
      </c>
      <c r="D87">
        <v>65</v>
      </c>
    </row>
    <row r="88" spans="3:8" x14ac:dyDescent="0.25">
      <c r="C88">
        <v>547</v>
      </c>
      <c r="D88">
        <v>202</v>
      </c>
    </row>
    <row r="89" spans="3:8" x14ac:dyDescent="0.25">
      <c r="C89">
        <v>556</v>
      </c>
      <c r="D89">
        <v>257</v>
      </c>
    </row>
    <row r="90" spans="3:8" x14ac:dyDescent="0.25">
      <c r="C90">
        <v>206</v>
      </c>
      <c r="D90">
        <v>418</v>
      </c>
    </row>
    <row r="92" spans="3:8" x14ac:dyDescent="0.25">
      <c r="D92">
        <v>92</v>
      </c>
    </row>
    <row r="93" spans="3:8" x14ac:dyDescent="0.25">
      <c r="D93">
        <v>128</v>
      </c>
    </row>
    <row r="94" spans="3:8" x14ac:dyDescent="0.25">
      <c r="C94">
        <v>387</v>
      </c>
      <c r="D94">
        <v>57</v>
      </c>
    </row>
    <row r="98" spans="1:12" ht="21" x14ac:dyDescent="0.35">
      <c r="A98" s="2" t="s">
        <v>62</v>
      </c>
    </row>
    <row r="100" spans="1:12" ht="21" x14ac:dyDescent="0.35">
      <c r="A100" s="2" t="s">
        <v>44</v>
      </c>
      <c r="C100" s="35" t="s">
        <v>39</v>
      </c>
      <c r="D100" s="35"/>
      <c r="E100" s="35" t="s">
        <v>40</v>
      </c>
      <c r="F100" s="35"/>
      <c r="G100" s="35" t="s">
        <v>41</v>
      </c>
      <c r="H100" s="35"/>
      <c r="I100" s="35" t="s">
        <v>42</v>
      </c>
      <c r="J100" s="35"/>
      <c r="K100" s="35" t="s">
        <v>43</v>
      </c>
      <c r="L100" s="35"/>
    </row>
    <row r="101" spans="1:12" x14ac:dyDescent="0.25">
      <c r="C101" t="s">
        <v>57</v>
      </c>
      <c r="D101" t="s">
        <v>58</v>
      </c>
      <c r="E101" t="s">
        <v>57</v>
      </c>
      <c r="F101" t="s">
        <v>58</v>
      </c>
      <c r="G101" t="s">
        <v>57</v>
      </c>
      <c r="H101" t="s">
        <v>58</v>
      </c>
      <c r="I101" t="s">
        <v>57</v>
      </c>
      <c r="J101" t="s">
        <v>58</v>
      </c>
      <c r="K101" t="s">
        <v>57</v>
      </c>
      <c r="L101" t="s">
        <v>58</v>
      </c>
    </row>
    <row r="102" spans="1:12" x14ac:dyDescent="0.25">
      <c r="D102">
        <v>72</v>
      </c>
      <c r="E102">
        <v>295</v>
      </c>
      <c r="F102">
        <v>88</v>
      </c>
      <c r="G102">
        <v>332</v>
      </c>
      <c r="H102">
        <v>97</v>
      </c>
      <c r="I102">
        <v>186</v>
      </c>
      <c r="J102">
        <v>284</v>
      </c>
      <c r="K102">
        <v>86</v>
      </c>
      <c r="L102">
        <v>231</v>
      </c>
    </row>
    <row r="103" spans="1:12" x14ac:dyDescent="0.25">
      <c r="C103">
        <v>516</v>
      </c>
      <c r="D103">
        <v>131</v>
      </c>
    </row>
    <row r="104" spans="1:12" x14ac:dyDescent="0.25">
      <c r="C104">
        <v>329</v>
      </c>
      <c r="D104">
        <v>128</v>
      </c>
      <c r="I104">
        <v>72</v>
      </c>
      <c r="J104">
        <v>71</v>
      </c>
      <c r="K104">
        <v>247</v>
      </c>
      <c r="L104">
        <v>223</v>
      </c>
    </row>
    <row r="105" spans="1:12" x14ac:dyDescent="0.25">
      <c r="D105">
        <v>273</v>
      </c>
      <c r="E105">
        <v>321</v>
      </c>
      <c r="F105">
        <v>121</v>
      </c>
      <c r="G105">
        <v>95</v>
      </c>
      <c r="H105">
        <v>235</v>
      </c>
      <c r="K105">
        <v>214</v>
      </c>
      <c r="L105">
        <v>196</v>
      </c>
    </row>
    <row r="106" spans="1:12" x14ac:dyDescent="0.25">
      <c r="C106">
        <v>73</v>
      </c>
      <c r="D106">
        <v>68</v>
      </c>
      <c r="E106">
        <v>228</v>
      </c>
      <c r="F106">
        <v>20</v>
      </c>
      <c r="G106">
        <v>208</v>
      </c>
      <c r="H106">
        <v>71</v>
      </c>
      <c r="I106">
        <v>354</v>
      </c>
      <c r="J106">
        <v>56</v>
      </c>
      <c r="K106">
        <v>196</v>
      </c>
      <c r="L106">
        <v>49</v>
      </c>
    </row>
    <row r="107" spans="1:12" x14ac:dyDescent="0.25">
      <c r="C107">
        <v>63</v>
      </c>
      <c r="D107">
        <v>27</v>
      </c>
      <c r="H107">
        <v>297</v>
      </c>
      <c r="I107">
        <v>420</v>
      </c>
      <c r="K107">
        <v>289</v>
      </c>
      <c r="L107">
        <v>158</v>
      </c>
    </row>
    <row r="108" spans="1:12" x14ac:dyDescent="0.25">
      <c r="C108">
        <v>174</v>
      </c>
      <c r="D108">
        <v>429</v>
      </c>
      <c r="E108">
        <v>78</v>
      </c>
      <c r="F108">
        <v>49</v>
      </c>
      <c r="I108">
        <v>313</v>
      </c>
      <c r="J108">
        <v>217</v>
      </c>
    </row>
    <row r="109" spans="1:12" x14ac:dyDescent="0.25">
      <c r="C109">
        <v>152</v>
      </c>
      <c r="D109">
        <v>29</v>
      </c>
      <c r="G109">
        <v>53</v>
      </c>
      <c r="I109">
        <v>314</v>
      </c>
      <c r="J109">
        <v>69</v>
      </c>
      <c r="K109">
        <v>118</v>
      </c>
      <c r="L109">
        <v>113</v>
      </c>
    </row>
    <row r="110" spans="1:12" x14ac:dyDescent="0.25">
      <c r="C110">
        <v>46</v>
      </c>
      <c r="D110">
        <v>25</v>
      </c>
      <c r="L110">
        <v>224</v>
      </c>
    </row>
    <row r="111" spans="1:12" x14ac:dyDescent="0.25">
      <c r="F111">
        <v>183</v>
      </c>
      <c r="G111">
        <v>244</v>
      </c>
      <c r="H111">
        <v>31</v>
      </c>
      <c r="K111">
        <v>373</v>
      </c>
      <c r="L111">
        <v>33</v>
      </c>
    </row>
    <row r="112" spans="1:12" x14ac:dyDescent="0.25">
      <c r="E112">
        <v>271</v>
      </c>
      <c r="I112">
        <v>177</v>
      </c>
      <c r="J112">
        <v>48</v>
      </c>
      <c r="K112">
        <v>128</v>
      </c>
      <c r="L112">
        <v>76</v>
      </c>
    </row>
    <row r="113" spans="3:8" x14ac:dyDescent="0.25">
      <c r="C113">
        <v>66</v>
      </c>
      <c r="D113">
        <v>46</v>
      </c>
      <c r="E113">
        <v>209</v>
      </c>
      <c r="F113">
        <v>200</v>
      </c>
      <c r="G113">
        <v>237</v>
      </c>
      <c r="H113">
        <v>148</v>
      </c>
    </row>
    <row r="114" spans="3:8" x14ac:dyDescent="0.25">
      <c r="C114">
        <v>36</v>
      </c>
      <c r="E114">
        <v>354</v>
      </c>
      <c r="F114">
        <v>336</v>
      </c>
      <c r="G114">
        <v>258</v>
      </c>
      <c r="H114">
        <v>62</v>
      </c>
    </row>
    <row r="115" spans="3:8" x14ac:dyDescent="0.25">
      <c r="E115">
        <v>86</v>
      </c>
      <c r="F115">
        <v>36</v>
      </c>
    </row>
    <row r="116" spans="3:8" x14ac:dyDescent="0.25">
      <c r="D116">
        <v>491</v>
      </c>
      <c r="G116">
        <v>122</v>
      </c>
      <c r="H116">
        <v>64</v>
      </c>
    </row>
    <row r="117" spans="3:8" x14ac:dyDescent="0.25">
      <c r="E117">
        <v>68</v>
      </c>
      <c r="F117">
        <v>178</v>
      </c>
    </row>
    <row r="118" spans="3:8" x14ac:dyDescent="0.25">
      <c r="C118">
        <v>112</v>
      </c>
      <c r="D118">
        <v>35</v>
      </c>
      <c r="G118">
        <v>122</v>
      </c>
      <c r="H118">
        <v>64</v>
      </c>
    </row>
    <row r="119" spans="3:8" x14ac:dyDescent="0.25">
      <c r="C119">
        <v>216</v>
      </c>
      <c r="D119">
        <v>67</v>
      </c>
    </row>
    <row r="120" spans="3:8" x14ac:dyDescent="0.25">
      <c r="C120">
        <v>548</v>
      </c>
      <c r="D120">
        <v>203</v>
      </c>
    </row>
    <row r="121" spans="3:8" x14ac:dyDescent="0.25">
      <c r="C121">
        <v>557</v>
      </c>
      <c r="D121">
        <v>258</v>
      </c>
    </row>
    <row r="122" spans="3:8" x14ac:dyDescent="0.25">
      <c r="C122">
        <v>207</v>
      </c>
      <c r="D122">
        <v>418</v>
      </c>
    </row>
    <row r="124" spans="3:8" x14ac:dyDescent="0.25">
      <c r="D124">
        <v>94</v>
      </c>
    </row>
    <row r="125" spans="3:8" x14ac:dyDescent="0.25">
      <c r="D125">
        <v>129</v>
      </c>
    </row>
    <row r="126" spans="3:8" x14ac:dyDescent="0.25">
      <c r="C126">
        <v>388</v>
      </c>
      <c r="D126">
        <v>58</v>
      </c>
    </row>
  </sheetData>
  <mergeCells count="20">
    <mergeCell ref="C68:D68"/>
    <mergeCell ref="E68:F68"/>
    <mergeCell ref="G68:H68"/>
    <mergeCell ref="I68:J68"/>
    <mergeCell ref="K68:L68"/>
    <mergeCell ref="C100:D100"/>
    <mergeCell ref="E100:F100"/>
    <mergeCell ref="G100:H100"/>
    <mergeCell ref="I100:J100"/>
    <mergeCell ref="K100:L100"/>
    <mergeCell ref="I4:J4"/>
    <mergeCell ref="K4:L4"/>
    <mergeCell ref="G4:H4"/>
    <mergeCell ref="E4:F4"/>
    <mergeCell ref="C4:D4"/>
    <mergeCell ref="C36:D36"/>
    <mergeCell ref="E36:F36"/>
    <mergeCell ref="G36:H36"/>
    <mergeCell ref="I36:J36"/>
    <mergeCell ref="K36:L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Figure  1</vt:lpstr>
      <vt:lpstr>Figure 2</vt:lpstr>
      <vt:lpstr>Figure 3</vt:lpstr>
      <vt:lpstr>Figure 4</vt:lpstr>
      <vt:lpstr>Figure 5</vt:lpstr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ccons</dc:creator>
  <cp:lastModifiedBy>Duch, Dr. Carsten</cp:lastModifiedBy>
  <dcterms:created xsi:type="dcterms:W3CDTF">2024-01-23T14:04:02Z</dcterms:created>
  <dcterms:modified xsi:type="dcterms:W3CDTF">2024-02-07T11:39:30Z</dcterms:modified>
</cp:coreProperties>
</file>